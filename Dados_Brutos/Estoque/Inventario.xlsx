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Inventario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+0.00%;-0.00%;0.00%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FFFFFF"/>
      <sz val="16"/>
    </font>
    <font>
      <name val="Calibri"/>
      <b val="1"/>
      <color rgb="00595959"/>
      <sz val="9"/>
    </font>
    <font>
      <name val="Calibri"/>
      <b val="1"/>
      <color rgb="001F4E79"/>
      <sz val="18"/>
    </font>
  </fonts>
  <fills count="5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/>
    </xf>
    <xf numFmtId="164" fontId="1" fillId="2" borderId="1" applyAlignment="1" pivotButton="0" quotePrefix="0" xfId="0">
      <alignment horizontal="center"/>
    </xf>
    <xf numFmtId="3" fontId="1" fillId="2" borderId="1" applyAlignment="1" pivotButton="0" quotePrefix="0" xfId="0">
      <alignment horizontal="right"/>
    </xf>
    <xf numFmtId="165" fontId="1" fillId="2" borderId="1" applyAlignment="1" pivotButton="0" quotePrefix="0" xfId="0">
      <alignment horizontal="right"/>
    </xf>
    <xf numFmtId="0" fontId="1" fillId="2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164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right"/>
    </xf>
    <xf numFmtId="165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3" fontId="5" fillId="4" borderId="0" applyAlignment="1" pivotButton="0" quotePrefix="0" xfId="0">
      <alignment horizontal="center"/>
    </xf>
    <xf numFmtId="166" fontId="5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name val="Calibri"/>
        <b val="1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Divergências por Categoria de Produto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'Dashboard'!$A$9:$A$18</f>
            </numRef>
          </cat>
          <val>
            <numRef>
              <f>'Dashboard'!$C$9:$C$18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Qtd Divergências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Acurácia Geral do Inventário (Status)</a:t>
            </a:r>
          </a:p>
        </rich>
      </tx>
    </title>
    <plotArea>
      <pieChart>
        <varyColors val="1"/>
        <ser>
          <idx val="0"/>
          <order val="0"/>
          <tx>
            <strRef>
              <f>'Dashboard'!G8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'Dashboard'!$F$9:$F$10</f>
            </numRef>
          </cat>
          <val>
            <numRef>
              <f>'Dashboard'!$G$9:$G$10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46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2" customWidth="1" min="3" max="3"/>
    <col width="16" customWidth="1" min="4" max="4"/>
    <col width="17" customWidth="1" min="5" max="5"/>
    <col width="20" customWidth="1" min="6" max="6"/>
    <col width="19" customWidth="1" min="7" max="7"/>
    <col width="15" customWidth="1" min="8" max="8"/>
    <col width="24" customWidth="1" min="9" max="9"/>
    <col width="24" customWidth="1" min="10" max="10"/>
    <col width="19" customWidth="1" min="11" max="11"/>
    <col width="40" customWidth="1" min="12" max="12"/>
  </cols>
  <sheetData>
    <row r="1">
      <c r="A1" s="1" t="inlineStr">
        <is>
          <t>InventarioID</t>
        </is>
      </c>
      <c r="B1" s="1" t="inlineStr">
        <is>
          <t>ProdutoID</t>
        </is>
      </c>
      <c r="C1" s="1" t="inlineStr">
        <is>
          <t>Produto</t>
        </is>
      </c>
      <c r="D1" s="1" t="inlineStr">
        <is>
          <t>Categoria</t>
        </is>
      </c>
      <c r="E1" s="1" t="inlineStr">
        <is>
          <t>DataInventario</t>
        </is>
      </c>
      <c r="F1" s="1" t="inlineStr">
        <is>
          <t>QuantidadeSistema</t>
        </is>
      </c>
      <c r="G1" s="1" t="inlineStr">
        <is>
          <t>QuantidadeFisica</t>
        </is>
      </c>
      <c r="H1" s="1" t="inlineStr">
        <is>
          <t>Diferenca</t>
        </is>
      </c>
      <c r="I1" s="1" t="inlineStr">
        <is>
          <t>PercentualDivergencia</t>
        </is>
      </c>
      <c r="J1" s="1" t="inlineStr">
        <is>
          <t>ResponsavelInventario</t>
        </is>
      </c>
      <c r="K1" s="1" t="inlineStr">
        <is>
          <t>Localizacao</t>
        </is>
      </c>
      <c r="L1" s="1" t="inlineStr">
        <is>
          <t>Status</t>
        </is>
      </c>
    </row>
    <row r="2">
      <c r="A2" s="2" t="n">
        <v>1</v>
      </c>
      <c r="B2" s="2" t="n">
        <v>31</v>
      </c>
      <c r="C2" s="3" t="inlineStr">
        <is>
          <t>Chromebook 11.6" (Modelo 2)</t>
        </is>
      </c>
      <c r="D2" s="3" t="inlineStr">
        <is>
          <t>Informática</t>
        </is>
      </c>
      <c r="E2" s="4" t="inlineStr">
        <is>
          <t>2025-10-16</t>
        </is>
      </c>
      <c r="F2" s="5" t="n">
        <v>4117</v>
      </c>
      <c r="G2" s="5" t="n">
        <v>3710</v>
      </c>
      <c r="H2" s="5">
        <f>G2-F2</f>
        <v/>
      </c>
      <c r="I2" s="6">
        <f>H2/F2</f>
        <v/>
      </c>
      <c r="J2" s="3" t="inlineStr">
        <is>
          <t>Fernanda Vasconcelos</t>
        </is>
      </c>
      <c r="K2" s="7" t="inlineStr">
        <is>
          <t>Depósito Externo</t>
        </is>
      </c>
      <c r="L2" s="7">
        <f>IF(H2=0, "Correto", "Divergente")</f>
        <v/>
      </c>
    </row>
    <row r="3">
      <c r="A3" s="8" t="n">
        <v>2</v>
      </c>
      <c r="B3" s="8" t="n">
        <v>160</v>
      </c>
      <c r="C3" s="9" t="inlineStr">
        <is>
          <t>Fonte Atx 500W 80 Plus (Modelo 11)</t>
        </is>
      </c>
      <c r="D3" s="9" t="inlineStr">
        <is>
          <t>Componentes</t>
        </is>
      </c>
      <c r="E3" s="10" t="inlineStr">
        <is>
          <t>2026-05-11</t>
        </is>
      </c>
      <c r="F3" s="11" t="n">
        <v>4691</v>
      </c>
      <c r="G3" s="11" t="n">
        <v>4691</v>
      </c>
      <c r="H3" s="11">
        <f>G3-F3</f>
        <v/>
      </c>
      <c r="I3" s="12">
        <f>H3/F3</f>
        <v/>
      </c>
      <c r="J3" s="9" t="inlineStr">
        <is>
          <t>Patricia Prado</t>
        </is>
      </c>
      <c r="K3" s="13" t="inlineStr">
        <is>
          <t>Depósito Externo</t>
        </is>
      </c>
      <c r="L3" s="13">
        <f>IF(H3=0, "Correto", "Divergente")</f>
        <v/>
      </c>
    </row>
    <row r="4">
      <c r="A4" s="2" t="n">
        <v>3</v>
      </c>
      <c r="B4" s="2" t="n">
        <v>113</v>
      </c>
      <c r="C4" s="3" t="inlineStr">
        <is>
          <t>Monitor 4K 32" Profissional (Modelo 9)</t>
        </is>
      </c>
      <c r="D4" s="3" t="inlineStr">
        <is>
          <t>Monitores</t>
        </is>
      </c>
      <c r="E4" s="4" t="inlineStr">
        <is>
          <t>2025-05-06</t>
        </is>
      </c>
      <c r="F4" s="5" t="n">
        <v>21</v>
      </c>
      <c r="G4" s="5" t="n">
        <v>21</v>
      </c>
      <c r="H4" s="5">
        <f>G4-F4</f>
        <v/>
      </c>
      <c r="I4" s="6">
        <f>H4/F4</f>
        <v/>
      </c>
      <c r="J4" s="3" t="inlineStr">
        <is>
          <t>Mariana Alcantara</t>
        </is>
      </c>
      <c r="K4" s="7" t="inlineStr">
        <is>
          <t>B02</t>
        </is>
      </c>
      <c r="L4" s="7">
        <f>IF(H4=0, "Correto", "Divergente")</f>
        <v/>
      </c>
    </row>
    <row r="5">
      <c r="A5" s="8" t="n">
        <v>4</v>
      </c>
      <c r="B5" s="8" t="n">
        <v>26</v>
      </c>
      <c r="C5" s="9" t="inlineStr">
        <is>
          <t>SSD NVMe 1TB M.2 (Modelo 12)</t>
        </is>
      </c>
      <c r="D5" s="9" t="inlineStr">
        <is>
          <t>Armazenamento</t>
        </is>
      </c>
      <c r="E5" s="10" t="inlineStr">
        <is>
          <t>2026-07-09</t>
        </is>
      </c>
      <c r="F5" s="11" t="n">
        <v>95</v>
      </c>
      <c r="G5" s="11" t="n">
        <v>98</v>
      </c>
      <c r="H5" s="11">
        <f>G5-F5</f>
        <v/>
      </c>
      <c r="I5" s="12">
        <f>H5/F5</f>
        <v/>
      </c>
      <c r="J5" s="9" t="inlineStr">
        <is>
          <t>Beatriz Castilho</t>
        </is>
      </c>
      <c r="K5" s="13" t="inlineStr">
        <is>
          <t>B01</t>
        </is>
      </c>
      <c r="L5" s="13">
        <f>IF(H5=0, "Correto", "Divergente")</f>
        <v/>
      </c>
    </row>
    <row r="6">
      <c r="A6" s="2" t="n">
        <v>5</v>
      </c>
      <c r="B6" s="2" t="n">
        <v>102</v>
      </c>
      <c r="C6" s="3" t="inlineStr">
        <is>
          <t>Mouse Sem Fio Bluetooth (Modelo 13)</t>
        </is>
      </c>
      <c r="D6" s="3" t="inlineStr">
        <is>
          <t>Periféricos</t>
        </is>
      </c>
      <c r="E6" s="4" t="inlineStr">
        <is>
          <t>2025-05-30</t>
        </is>
      </c>
      <c r="F6" s="5" t="n">
        <v>2849</v>
      </c>
      <c r="G6" s="5" t="n">
        <v>2787</v>
      </c>
      <c r="H6" s="5">
        <f>G6-F6</f>
        <v/>
      </c>
      <c r="I6" s="6">
        <f>H6/F6</f>
        <v/>
      </c>
      <c r="J6" s="3" t="inlineStr">
        <is>
          <t>Gustavo Silveira</t>
        </is>
      </c>
      <c r="K6" s="7" t="inlineStr">
        <is>
          <t>C03</t>
        </is>
      </c>
      <c r="L6" s="7">
        <f>IF(H6=0, "Correto", "Divergente")</f>
        <v/>
      </c>
    </row>
    <row r="7">
      <c r="A7" s="8" t="n">
        <v>6</v>
      </c>
      <c r="B7" s="8" t="n">
        <v>164</v>
      </c>
      <c r="C7" s="9" t="inlineStr">
        <is>
          <t>Multifuncional Tanque de Tinta (Modelo 15)</t>
        </is>
      </c>
      <c r="D7" s="9" t="inlineStr">
        <is>
          <t>Impressão</t>
        </is>
      </c>
      <c r="E7" s="10" t="inlineStr">
        <is>
          <t>2024-06-05</t>
        </is>
      </c>
      <c r="F7" s="11" t="n">
        <v>2789</v>
      </c>
      <c r="G7" s="11" t="n">
        <v>2789</v>
      </c>
      <c r="H7" s="11">
        <f>G7-F7</f>
        <v/>
      </c>
      <c r="I7" s="12">
        <f>H7/F7</f>
        <v/>
      </c>
      <c r="J7" s="9" t="inlineStr">
        <is>
          <t>Marcelo Fontes</t>
        </is>
      </c>
      <c r="K7" s="13" t="inlineStr">
        <is>
          <t>B02</t>
        </is>
      </c>
      <c r="L7" s="13">
        <f>IF(H7=0, "Correto", "Divergente")</f>
        <v/>
      </c>
    </row>
    <row r="8">
      <c r="A8" s="2" t="n">
        <v>7</v>
      </c>
      <c r="B8" s="2" t="n">
        <v>74</v>
      </c>
      <c r="C8" s="3" t="inlineStr">
        <is>
          <t>Multifuncional Tanque de Tinta (Modelo 15)</t>
        </is>
      </c>
      <c r="D8" s="3" t="inlineStr">
        <is>
          <t>Impressão</t>
        </is>
      </c>
      <c r="E8" s="4" t="inlineStr">
        <is>
          <t>2026-07-25</t>
        </is>
      </c>
      <c r="F8" s="5" t="n">
        <v>1155</v>
      </c>
      <c r="G8" s="5" t="n">
        <v>1188</v>
      </c>
      <c r="H8" s="5">
        <f>G8-F8</f>
        <v/>
      </c>
      <c r="I8" s="6">
        <f>H8/F8</f>
        <v/>
      </c>
      <c r="J8" s="3" t="inlineStr">
        <is>
          <t>Camila Azevedo</t>
        </is>
      </c>
      <c r="K8" s="7" t="inlineStr">
        <is>
          <t>B02</t>
        </is>
      </c>
      <c r="L8" s="7">
        <f>IF(H8=0, "Correto", "Divergente")</f>
        <v/>
      </c>
    </row>
    <row r="9">
      <c r="A9" s="8" t="n">
        <v>8</v>
      </c>
      <c r="B9" s="8" t="n">
        <v>7</v>
      </c>
      <c r="C9" s="9" t="inlineStr">
        <is>
          <t>Smartphone Empresarial 128GB (Modelo 8)</t>
        </is>
      </c>
      <c r="D9" s="9" t="inlineStr">
        <is>
          <t>Smartphones</t>
        </is>
      </c>
      <c r="E9" s="10" t="inlineStr">
        <is>
          <t>2026-01-25</t>
        </is>
      </c>
      <c r="F9" s="11" t="n">
        <v>2979</v>
      </c>
      <c r="G9" s="11" t="n">
        <v>2979</v>
      </c>
      <c r="H9" s="11">
        <f>G9-F9</f>
        <v/>
      </c>
      <c r="I9" s="12">
        <f>H9/F9</f>
        <v/>
      </c>
      <c r="J9" s="9" t="inlineStr">
        <is>
          <t>Mariana Alcantara</t>
        </is>
      </c>
      <c r="K9" s="13" t="inlineStr">
        <is>
          <t>C01</t>
        </is>
      </c>
      <c r="L9" s="13">
        <f>IF(H9=0, "Correto", "Divergente")</f>
        <v/>
      </c>
    </row>
    <row r="10">
      <c r="A10" s="2" t="n">
        <v>9</v>
      </c>
      <c r="B10" s="2" t="n">
        <v>150</v>
      </c>
      <c r="C10" s="3" t="inlineStr">
        <is>
          <t>Cooler para Processador 120mm (Modelo 1)</t>
        </is>
      </c>
      <c r="D10" s="3" t="inlineStr">
        <is>
          <t>Componentes</t>
        </is>
      </c>
      <c r="E10" s="4" t="inlineStr">
        <is>
          <t>2026-10-17</t>
        </is>
      </c>
      <c r="F10" s="5" t="n">
        <v>954</v>
      </c>
      <c r="G10" s="5" t="n">
        <v>954</v>
      </c>
      <c r="H10" s="5">
        <f>G10-F10</f>
        <v/>
      </c>
      <c r="I10" s="6">
        <f>H10/F10</f>
        <v/>
      </c>
      <c r="J10" s="3" t="inlineStr">
        <is>
          <t>Camila Azevedo</t>
        </is>
      </c>
      <c r="K10" s="7" t="inlineStr">
        <is>
          <t>C02</t>
        </is>
      </c>
      <c r="L10" s="7">
        <f>IF(H10=0, "Correto", "Divergente")</f>
        <v/>
      </c>
    </row>
    <row r="11">
      <c r="A11" s="8" t="n">
        <v>10</v>
      </c>
      <c r="B11" s="8" t="n">
        <v>102</v>
      </c>
      <c r="C11" s="9" t="inlineStr">
        <is>
          <t>Mouse Sem Fio Bluetooth (Modelo 13)</t>
        </is>
      </c>
      <c r="D11" s="9" t="inlineStr">
        <is>
          <t>Periféricos</t>
        </is>
      </c>
      <c r="E11" s="10" t="inlineStr">
        <is>
          <t>2026-12-10</t>
        </is>
      </c>
      <c r="F11" s="11" t="n">
        <v>2119</v>
      </c>
      <c r="G11" s="11" t="n">
        <v>2158</v>
      </c>
      <c r="H11" s="11">
        <f>G11-F11</f>
        <v/>
      </c>
      <c r="I11" s="12">
        <f>H11/F11</f>
        <v/>
      </c>
      <c r="J11" s="9" t="inlineStr">
        <is>
          <t>Patricia Prado</t>
        </is>
      </c>
      <c r="K11" s="13" t="inlineStr">
        <is>
          <t>C03</t>
        </is>
      </c>
      <c r="L11" s="13">
        <f>IF(H11=0, "Correto", "Divergente")</f>
        <v/>
      </c>
    </row>
    <row r="12">
      <c r="A12" s="2" t="n">
        <v>11</v>
      </c>
      <c r="B12" s="2" t="n">
        <v>133</v>
      </c>
      <c r="C12" s="3" t="inlineStr">
        <is>
          <t>Monitor LED 21.5" Full HD (Modelo 14)</t>
        </is>
      </c>
      <c r="D12" s="3" t="inlineStr">
        <is>
          <t>Monitores</t>
        </is>
      </c>
      <c r="E12" s="4" t="inlineStr">
        <is>
          <t>2024-02-21</t>
        </is>
      </c>
      <c r="F12" s="5" t="n">
        <v>4715</v>
      </c>
      <c r="G12" s="5" t="n">
        <v>4715</v>
      </c>
      <c r="H12" s="5">
        <f>G12-F12</f>
        <v/>
      </c>
      <c r="I12" s="6">
        <f>H12/F12</f>
        <v/>
      </c>
      <c r="J12" s="3" t="inlineStr">
        <is>
          <t>Roberto Fernandes</t>
        </is>
      </c>
      <c r="K12" s="7" t="inlineStr">
        <is>
          <t>A01</t>
        </is>
      </c>
      <c r="L12" s="7">
        <f>IF(H12=0, "Correto", "Divergente")</f>
        <v/>
      </c>
    </row>
    <row r="13">
      <c r="A13" s="8" t="n">
        <v>12</v>
      </c>
      <c r="B13" s="8" t="n">
        <v>181</v>
      </c>
      <c r="C13" s="9" t="inlineStr">
        <is>
          <t>Mini PC Ryzen 5 (Modelo 2)</t>
        </is>
      </c>
      <c r="D13" s="9" t="inlineStr">
        <is>
          <t>Informática</t>
        </is>
      </c>
      <c r="E13" s="10" t="inlineStr">
        <is>
          <t>2026-12-07</t>
        </is>
      </c>
      <c r="F13" s="11" t="n">
        <v>841</v>
      </c>
      <c r="G13" s="11" t="n">
        <v>841</v>
      </c>
      <c r="H13" s="11">
        <f>G13-F13</f>
        <v/>
      </c>
      <c r="I13" s="12">
        <f>H13/F13</f>
        <v/>
      </c>
      <c r="J13" s="9" t="inlineStr">
        <is>
          <t>Gustavo Silveira</t>
        </is>
      </c>
      <c r="K13" s="13" t="inlineStr">
        <is>
          <t>C02</t>
        </is>
      </c>
      <c r="L13" s="13">
        <f>IF(H13=0, "Correto", "Divergente")</f>
        <v/>
      </c>
    </row>
    <row r="14">
      <c r="A14" s="2" t="n">
        <v>13</v>
      </c>
      <c r="B14" s="2" t="n">
        <v>37</v>
      </c>
      <c r="C14" s="3" t="inlineStr">
        <is>
          <t>Smartphone Empresarial 128GB (Modelo 8)</t>
        </is>
      </c>
      <c r="D14" s="3" t="inlineStr">
        <is>
          <t>Smartphones</t>
        </is>
      </c>
      <c r="E14" s="4" t="inlineStr">
        <is>
          <t>2026-09-14</t>
        </is>
      </c>
      <c r="F14" s="5" t="n">
        <v>1876</v>
      </c>
      <c r="G14" s="5" t="n">
        <v>1814</v>
      </c>
      <c r="H14" s="5">
        <f>G14-F14</f>
        <v/>
      </c>
      <c r="I14" s="6">
        <f>H14/F14</f>
        <v/>
      </c>
      <c r="J14" s="3" t="inlineStr">
        <is>
          <t>Patricia Prado</t>
        </is>
      </c>
      <c r="K14" s="7" t="inlineStr">
        <is>
          <t>C02</t>
        </is>
      </c>
      <c r="L14" s="7">
        <f>IF(H14=0, "Correto", "Divergente")</f>
        <v/>
      </c>
    </row>
    <row r="15">
      <c r="A15" s="8" t="n">
        <v>14</v>
      </c>
      <c r="B15" s="8" t="n">
        <v>183</v>
      </c>
      <c r="C15" s="9" t="inlineStr">
        <is>
          <t>Monitor 27" Curvo 144Hz (Modelo 4)</t>
        </is>
      </c>
      <c r="D15" s="9" t="inlineStr">
        <is>
          <t>Monitores</t>
        </is>
      </c>
      <c r="E15" s="10" t="inlineStr">
        <is>
          <t>2025-05-29</t>
        </is>
      </c>
      <c r="F15" s="11" t="n">
        <v>4586</v>
      </c>
      <c r="G15" s="11" t="n">
        <v>4586</v>
      </c>
      <c r="H15" s="11">
        <f>G15-F15</f>
        <v/>
      </c>
      <c r="I15" s="12">
        <f>H15/F15</f>
        <v/>
      </c>
      <c r="J15" s="9" t="inlineStr">
        <is>
          <t>Ricardo Mendes</t>
        </is>
      </c>
      <c r="K15" s="13" t="inlineStr">
        <is>
          <t>C03</t>
        </is>
      </c>
      <c r="L15" s="13">
        <f>IF(H15=0, "Correto", "Divergente")</f>
        <v/>
      </c>
    </row>
    <row r="16">
      <c r="A16" s="2" t="n">
        <v>15</v>
      </c>
      <c r="B16" s="2" t="n">
        <v>166</v>
      </c>
      <c r="C16" s="3" t="inlineStr">
        <is>
          <t>HD Externo Portátil 2TB (Modelo 2)</t>
        </is>
      </c>
      <c r="D16" s="3" t="inlineStr">
        <is>
          <t>Armazenamento</t>
        </is>
      </c>
      <c r="E16" s="4" t="inlineStr">
        <is>
          <t>2026-10-24</t>
        </is>
      </c>
      <c r="F16" s="5" t="n">
        <v>3924</v>
      </c>
      <c r="G16" s="5" t="n">
        <v>3933</v>
      </c>
      <c r="H16" s="5">
        <f>G16-F16</f>
        <v/>
      </c>
      <c r="I16" s="6">
        <f>H16/F16</f>
        <v/>
      </c>
      <c r="J16" s="3" t="inlineStr">
        <is>
          <t>Gustavo Silveira</t>
        </is>
      </c>
      <c r="K16" s="7" t="inlineStr">
        <is>
          <t>B01</t>
        </is>
      </c>
      <c r="L16" s="7">
        <f>IF(H16=0, "Correto", "Divergente")</f>
        <v/>
      </c>
    </row>
    <row r="17">
      <c r="A17" s="8" t="n">
        <v>16</v>
      </c>
      <c r="B17" s="8" t="n">
        <v>76</v>
      </c>
      <c r="C17" s="9" t="inlineStr">
        <is>
          <t>HD Externo Portátil 2TB (Modelo 2)</t>
        </is>
      </c>
      <c r="D17" s="9" t="inlineStr">
        <is>
          <t>Armazenamento</t>
        </is>
      </c>
      <c r="E17" s="10" t="inlineStr">
        <is>
          <t>2025-07-04</t>
        </is>
      </c>
      <c r="F17" s="11" t="n">
        <v>76</v>
      </c>
      <c r="G17" s="11" t="n">
        <v>76</v>
      </c>
      <c r="H17" s="11">
        <f>G17-F17</f>
        <v/>
      </c>
      <c r="I17" s="12">
        <f>H17/F17</f>
        <v/>
      </c>
      <c r="J17" s="9" t="inlineStr">
        <is>
          <t>Camila Azevedo</t>
        </is>
      </c>
      <c r="K17" s="13" t="inlineStr">
        <is>
          <t>C02</t>
        </is>
      </c>
      <c r="L17" s="13">
        <f>IF(H17=0, "Correto", "Divergente")</f>
        <v/>
      </c>
    </row>
    <row r="18">
      <c r="A18" s="2" t="n">
        <v>17</v>
      </c>
      <c r="B18" s="2" t="n">
        <v>134</v>
      </c>
      <c r="C18" s="3" t="inlineStr">
        <is>
          <t>Multifuncional Tanque de Tinta (Modelo 15)</t>
        </is>
      </c>
      <c r="D18" s="3" t="inlineStr">
        <is>
          <t>Impressão</t>
        </is>
      </c>
      <c r="E18" s="4" t="inlineStr">
        <is>
          <t>2026-09-29</t>
        </is>
      </c>
      <c r="F18" s="5" t="n">
        <v>2949</v>
      </c>
      <c r="G18" s="5" t="n">
        <v>2773</v>
      </c>
      <c r="H18" s="5">
        <f>G18-F18</f>
        <v/>
      </c>
      <c r="I18" s="6">
        <f>H18/F18</f>
        <v/>
      </c>
      <c r="J18" s="3" t="inlineStr">
        <is>
          <t>Patricia Prado</t>
        </is>
      </c>
      <c r="K18" s="7" t="inlineStr">
        <is>
          <t>C02</t>
        </is>
      </c>
      <c r="L18" s="7">
        <f>IF(H18=0, "Correto", "Divergente")</f>
        <v/>
      </c>
    </row>
    <row r="19">
      <c r="A19" s="8" t="n">
        <v>18</v>
      </c>
      <c r="B19" s="8" t="n">
        <v>131</v>
      </c>
      <c r="C19" s="9" t="inlineStr">
        <is>
          <t>Desktop Core i5 8GB (Modelo 12)</t>
        </is>
      </c>
      <c r="D19" s="9" t="inlineStr">
        <is>
          <t>Informática</t>
        </is>
      </c>
      <c r="E19" s="10" t="inlineStr">
        <is>
          <t>2026-10-15</t>
        </is>
      </c>
      <c r="F19" s="11" t="n">
        <v>3558</v>
      </c>
      <c r="G19" s="11" t="n">
        <v>3558</v>
      </c>
      <c r="H19" s="11">
        <f>G19-F19</f>
        <v/>
      </c>
      <c r="I19" s="12">
        <f>H19/F19</f>
        <v/>
      </c>
      <c r="J19" s="9" t="inlineStr">
        <is>
          <t>Carlos Eduardo Rocha</t>
        </is>
      </c>
      <c r="K19" s="13" t="inlineStr">
        <is>
          <t>B02</t>
        </is>
      </c>
      <c r="L19" s="13">
        <f>IF(H19=0, "Correto", "Divergente")</f>
        <v/>
      </c>
    </row>
    <row r="20">
      <c r="A20" s="2" t="n">
        <v>19</v>
      </c>
      <c r="B20" s="2" t="n">
        <v>82</v>
      </c>
      <c r="C20" s="3" t="inlineStr">
        <is>
          <t>Combo Teclado e Mouse (Modelo 8)</t>
        </is>
      </c>
      <c r="D20" s="3" t="inlineStr">
        <is>
          <t>Periféricos</t>
        </is>
      </c>
      <c r="E20" s="4" t="inlineStr">
        <is>
          <t>2026-07-26</t>
        </is>
      </c>
      <c r="F20" s="5" t="n">
        <v>806</v>
      </c>
      <c r="G20" s="5" t="n">
        <v>806</v>
      </c>
      <c r="H20" s="5">
        <f>G20-F20</f>
        <v/>
      </c>
      <c r="I20" s="6">
        <f>H20/F20</f>
        <v/>
      </c>
      <c r="J20" s="3" t="inlineStr">
        <is>
          <t>Marcelo Fontes</t>
        </is>
      </c>
      <c r="K20" s="7" t="inlineStr">
        <is>
          <t>B02</t>
        </is>
      </c>
      <c r="L20" s="7">
        <f>IF(H20=0, "Correto", "Divergente")</f>
        <v/>
      </c>
    </row>
    <row r="21">
      <c r="A21" s="8" t="n">
        <v>20</v>
      </c>
      <c r="B21" s="8" t="n">
        <v>116</v>
      </c>
      <c r="C21" s="9" t="inlineStr">
        <is>
          <t>SSD NVMe 1TB M.2 (Modelo 12)</t>
        </is>
      </c>
      <c r="D21" s="9" t="inlineStr">
        <is>
          <t>Armazenamento</t>
        </is>
      </c>
      <c r="E21" s="10" t="inlineStr">
        <is>
          <t>2025-01-09</t>
        </is>
      </c>
      <c r="F21" s="11" t="n">
        <v>3488</v>
      </c>
      <c r="G21" s="11" t="n">
        <v>3559</v>
      </c>
      <c r="H21" s="11">
        <f>G21-F21</f>
        <v/>
      </c>
      <c r="I21" s="12">
        <f>H21/F21</f>
        <v/>
      </c>
      <c r="J21" s="9" t="inlineStr">
        <is>
          <t>Mariana Alcantara</t>
        </is>
      </c>
      <c r="K21" s="13" t="inlineStr">
        <is>
          <t>B02</t>
        </is>
      </c>
      <c r="L21" s="13">
        <f>IF(H21=0, "Correto", "Divergente")</f>
        <v/>
      </c>
    </row>
    <row r="22">
      <c r="A22" s="2" t="n">
        <v>21</v>
      </c>
      <c r="B22" s="2" t="n">
        <v>128</v>
      </c>
      <c r="C22" s="3" t="inlineStr">
        <is>
          <t>Switch Gigabit 16 Portas (Modelo 9)</t>
        </is>
      </c>
      <c r="D22" s="3" t="inlineStr">
        <is>
          <t>Redes</t>
        </is>
      </c>
      <c r="E22" s="4" t="inlineStr">
        <is>
          <t>2026-01-28</t>
        </is>
      </c>
      <c r="F22" s="5" t="n">
        <v>792</v>
      </c>
      <c r="G22" s="5" t="n">
        <v>792</v>
      </c>
      <c r="H22" s="5">
        <f>G22-F22</f>
        <v/>
      </c>
      <c r="I22" s="6">
        <f>H22/F22</f>
        <v/>
      </c>
      <c r="J22" s="3" t="inlineStr">
        <is>
          <t>Gustavo Silveira</t>
        </is>
      </c>
      <c r="K22" s="7" t="inlineStr">
        <is>
          <t>A03</t>
        </is>
      </c>
      <c r="L22" s="7">
        <f>IF(H22=0, "Correto", "Divergente")</f>
        <v/>
      </c>
    </row>
    <row r="23">
      <c r="A23" s="8" t="n">
        <v>22</v>
      </c>
      <c r="B23" s="8" t="n">
        <v>116</v>
      </c>
      <c r="C23" s="9" t="inlineStr">
        <is>
          <t>SSD NVMe 1TB M.2 (Modelo 12)</t>
        </is>
      </c>
      <c r="D23" s="9" t="inlineStr">
        <is>
          <t>Armazenamento</t>
        </is>
      </c>
      <c r="E23" s="10" t="inlineStr">
        <is>
          <t>2024-01-29</t>
        </is>
      </c>
      <c r="F23" s="11" t="n">
        <v>756</v>
      </c>
      <c r="G23" s="11" t="n">
        <v>756</v>
      </c>
      <c r="H23" s="11">
        <f>G23-F23</f>
        <v/>
      </c>
      <c r="I23" s="12">
        <f>H23/F23</f>
        <v/>
      </c>
      <c r="J23" s="9" t="inlineStr">
        <is>
          <t>Camila Azevedo</t>
        </is>
      </c>
      <c r="K23" s="13" t="inlineStr">
        <is>
          <t>C03</t>
        </is>
      </c>
      <c r="L23" s="13">
        <f>IF(H23=0, "Correto", "Divergente")</f>
        <v/>
      </c>
    </row>
    <row r="24">
      <c r="A24" s="2" t="n">
        <v>23</v>
      </c>
      <c r="B24" s="2" t="n">
        <v>22</v>
      </c>
      <c r="C24" s="3" t="inlineStr">
        <is>
          <t>Teclado Mecânico RGB (Modelo 8)</t>
        </is>
      </c>
      <c r="D24" s="3" t="inlineStr">
        <is>
          <t>Periféricos</t>
        </is>
      </c>
      <c r="E24" s="4" t="inlineStr">
        <is>
          <t>2025-02-11</t>
        </is>
      </c>
      <c r="F24" s="5" t="n">
        <v>2031</v>
      </c>
      <c r="G24" s="5" t="n">
        <v>2031</v>
      </c>
      <c r="H24" s="5">
        <f>G24-F24</f>
        <v/>
      </c>
      <c r="I24" s="6">
        <f>H24/F24</f>
        <v/>
      </c>
      <c r="J24" s="3" t="inlineStr">
        <is>
          <t>Carlos Eduardo Rocha</t>
        </is>
      </c>
      <c r="K24" s="7" t="inlineStr">
        <is>
          <t>C03</t>
        </is>
      </c>
      <c r="L24" s="7">
        <f>IF(H24=0, "Correto", "Divergente")</f>
        <v/>
      </c>
    </row>
    <row r="25">
      <c r="A25" s="8" t="n">
        <v>24</v>
      </c>
      <c r="B25" s="8" t="n">
        <v>69</v>
      </c>
      <c r="C25" s="9" t="inlineStr">
        <is>
          <t>Mochila para Notebook 15.6" (Modelo 10)</t>
        </is>
      </c>
      <c r="D25" s="9" t="inlineStr">
        <is>
          <t>Acessórios</t>
        </is>
      </c>
      <c r="E25" s="10" t="inlineStr">
        <is>
          <t>2026-01-01</t>
        </is>
      </c>
      <c r="F25" s="11" t="n">
        <v>1268</v>
      </c>
      <c r="G25" s="11" t="n">
        <v>1268</v>
      </c>
      <c r="H25" s="11">
        <f>G25-F25</f>
        <v/>
      </c>
      <c r="I25" s="12">
        <f>H25/F25</f>
        <v/>
      </c>
      <c r="J25" s="9" t="inlineStr">
        <is>
          <t>Camila Azevedo</t>
        </is>
      </c>
      <c r="K25" s="13" t="inlineStr">
        <is>
          <t>Depósito Externo</t>
        </is>
      </c>
      <c r="L25" s="13">
        <f>IF(H25=0, "Correto", "Divergente")</f>
        <v/>
      </c>
    </row>
    <row r="26">
      <c r="A26" s="2" t="n">
        <v>25</v>
      </c>
      <c r="B26" s="2" t="n">
        <v>197</v>
      </c>
      <c r="C26" s="3" t="inlineStr">
        <is>
          <t>Capa Protetora para Tablet (Modelo 3)</t>
        </is>
      </c>
      <c r="D26" s="3" t="inlineStr">
        <is>
          <t>Smartphones</t>
        </is>
      </c>
      <c r="E26" s="4" t="inlineStr">
        <is>
          <t>2026-10-04</t>
        </is>
      </c>
      <c r="F26" s="5" t="n">
        <v>1105</v>
      </c>
      <c r="G26" s="5" t="n">
        <v>1105</v>
      </c>
      <c r="H26" s="5">
        <f>G26-F26</f>
        <v/>
      </c>
      <c r="I26" s="6">
        <f>H26/F26</f>
        <v/>
      </c>
      <c r="J26" s="3" t="inlineStr">
        <is>
          <t>Patricia Prado</t>
        </is>
      </c>
      <c r="K26" s="7" t="inlineStr">
        <is>
          <t>Depósito Externo</t>
        </is>
      </c>
      <c r="L26" s="7">
        <f>IF(H26=0, "Correto", "Divergente")</f>
        <v/>
      </c>
    </row>
    <row r="27">
      <c r="A27" s="8" t="n">
        <v>26</v>
      </c>
      <c r="B27" s="8" t="n">
        <v>34</v>
      </c>
      <c r="C27" s="9" t="inlineStr">
        <is>
          <t>Toner HP Preto Original (Modelo 5)</t>
        </is>
      </c>
      <c r="D27" s="9" t="inlineStr">
        <is>
          <t>Impressão</t>
        </is>
      </c>
      <c r="E27" s="10" t="inlineStr">
        <is>
          <t>2026-10-30</t>
        </is>
      </c>
      <c r="F27" s="11" t="n">
        <v>2382</v>
      </c>
      <c r="G27" s="11" t="n">
        <v>2382</v>
      </c>
      <c r="H27" s="11">
        <f>G27-F27</f>
        <v/>
      </c>
      <c r="I27" s="12">
        <f>H27/F27</f>
        <v/>
      </c>
      <c r="J27" s="9" t="inlineStr">
        <is>
          <t>Roberto Fernandes</t>
        </is>
      </c>
      <c r="K27" s="13" t="inlineStr">
        <is>
          <t>A03</t>
        </is>
      </c>
      <c r="L27" s="13">
        <f>IF(H27=0, "Correto", "Divergente")</f>
        <v/>
      </c>
    </row>
    <row r="28">
      <c r="A28" s="2" t="n">
        <v>27</v>
      </c>
      <c r="B28" s="2" t="n">
        <v>151</v>
      </c>
      <c r="C28" s="3" t="inlineStr">
        <is>
          <t>Chromebook 11.6" (Modelo 2)</t>
        </is>
      </c>
      <c r="D28" s="3" t="inlineStr">
        <is>
          <t>Informática</t>
        </is>
      </c>
      <c r="E28" s="4" t="inlineStr">
        <is>
          <t>2025-09-18</t>
        </is>
      </c>
      <c r="F28" s="5" t="n">
        <v>4160</v>
      </c>
      <c r="G28" s="5" t="n">
        <v>4160</v>
      </c>
      <c r="H28" s="5">
        <f>G28-F28</f>
        <v/>
      </c>
      <c r="I28" s="6">
        <f>H28/F28</f>
        <v/>
      </c>
      <c r="J28" s="3" t="inlineStr">
        <is>
          <t>Roberto Fernandes</t>
        </is>
      </c>
      <c r="K28" s="7" t="inlineStr">
        <is>
          <t>C03</t>
        </is>
      </c>
      <c r="L28" s="7">
        <f>IF(H28=0, "Correto", "Divergente")</f>
        <v/>
      </c>
    </row>
    <row r="29">
      <c r="A29" s="8" t="n">
        <v>28</v>
      </c>
      <c r="B29" s="8" t="n">
        <v>51</v>
      </c>
      <c r="C29" s="9" t="inlineStr">
        <is>
          <t>Desktop Core i5 8GB (Modelo 7)</t>
        </is>
      </c>
      <c r="D29" s="9" t="inlineStr">
        <is>
          <t>Informática</t>
        </is>
      </c>
      <c r="E29" s="10" t="inlineStr">
        <is>
          <t>2026-02-09</t>
        </is>
      </c>
      <c r="F29" s="11" t="n">
        <v>116</v>
      </c>
      <c r="G29" s="11" t="n">
        <v>123</v>
      </c>
      <c r="H29" s="11">
        <f>G29-F29</f>
        <v/>
      </c>
      <c r="I29" s="12">
        <f>H29/F29</f>
        <v/>
      </c>
      <c r="J29" s="9" t="inlineStr">
        <is>
          <t>Mariana Alcantara</t>
        </is>
      </c>
      <c r="K29" s="13" t="inlineStr">
        <is>
          <t>A01</t>
        </is>
      </c>
      <c r="L29" s="13">
        <f>IF(H29=0, "Correto", "Divergente")</f>
        <v/>
      </c>
    </row>
    <row r="30">
      <c r="A30" s="2" t="n">
        <v>29</v>
      </c>
      <c r="B30" s="2" t="n">
        <v>89</v>
      </c>
      <c r="C30" s="3" t="inlineStr">
        <is>
          <t>Hub USB-C 7 em 1 (Modelo 15)</t>
        </is>
      </c>
      <c r="D30" s="3" t="inlineStr">
        <is>
          <t>Acessórios</t>
        </is>
      </c>
      <c r="E30" s="4" t="inlineStr">
        <is>
          <t>2025-12-24</t>
        </is>
      </c>
      <c r="F30" s="5" t="n">
        <v>212</v>
      </c>
      <c r="G30" s="5" t="n">
        <v>212</v>
      </c>
      <c r="H30" s="5">
        <f>G30-F30</f>
        <v/>
      </c>
      <c r="I30" s="6">
        <f>H30/F30</f>
        <v/>
      </c>
      <c r="J30" s="3" t="inlineStr">
        <is>
          <t>Patricia Prado</t>
        </is>
      </c>
      <c r="K30" s="7" t="inlineStr">
        <is>
          <t>B03</t>
        </is>
      </c>
      <c r="L30" s="7">
        <f>IF(H30=0, "Correto", "Divergente")</f>
        <v/>
      </c>
    </row>
    <row r="31">
      <c r="A31" s="8" t="n">
        <v>30</v>
      </c>
      <c r="B31" s="8" t="n">
        <v>175</v>
      </c>
      <c r="C31" s="9" t="inlineStr">
        <is>
          <t>Headset USB com Cancelamento de Ruído (Modelo 11)</t>
        </is>
      </c>
      <c r="D31" s="9" t="inlineStr">
        <is>
          <t>Áudio</t>
        </is>
      </c>
      <c r="E31" s="10" t="inlineStr">
        <is>
          <t>2025-09-13</t>
        </is>
      </c>
      <c r="F31" s="11" t="n">
        <v>3688</v>
      </c>
      <c r="G31" s="11" t="n">
        <v>3688</v>
      </c>
      <c r="H31" s="11">
        <f>G31-F31</f>
        <v/>
      </c>
      <c r="I31" s="12">
        <f>H31/F31</f>
        <v/>
      </c>
      <c r="J31" s="9" t="inlineStr">
        <is>
          <t>Mariana Alcantara</t>
        </is>
      </c>
      <c r="K31" s="13" t="inlineStr">
        <is>
          <t>C02</t>
        </is>
      </c>
      <c r="L31" s="13">
        <f>IF(H31=0, "Correto", "Divergente")</f>
        <v/>
      </c>
    </row>
    <row r="32">
      <c r="A32" s="2" t="n">
        <v>31</v>
      </c>
      <c r="B32" s="2" t="n">
        <v>120</v>
      </c>
      <c r="C32" s="3" t="inlineStr">
        <is>
          <t>Cooler para Processador 120mm (Modelo 1)</t>
        </is>
      </c>
      <c r="D32" s="3" t="inlineStr">
        <is>
          <t>Componentes</t>
        </is>
      </c>
      <c r="E32" s="4" t="inlineStr">
        <is>
          <t>2024-12-15</t>
        </is>
      </c>
      <c r="F32" s="5" t="n">
        <v>1261</v>
      </c>
      <c r="G32" s="5" t="n">
        <v>1261</v>
      </c>
      <c r="H32" s="5">
        <f>G32-F32</f>
        <v/>
      </c>
      <c r="I32" s="6">
        <f>H32/F32</f>
        <v/>
      </c>
      <c r="J32" s="3" t="inlineStr">
        <is>
          <t>Fernanda Vasconcelos</t>
        </is>
      </c>
      <c r="K32" s="7" t="inlineStr">
        <is>
          <t>C01</t>
        </is>
      </c>
      <c r="L32" s="7">
        <f>IF(H32=0, "Correto", "Divergente")</f>
        <v/>
      </c>
    </row>
    <row r="33">
      <c r="A33" s="8" t="n">
        <v>32</v>
      </c>
      <c r="B33" s="8" t="n">
        <v>160</v>
      </c>
      <c r="C33" s="9" t="inlineStr">
        <is>
          <t>Fonte Atx 500W 80 Plus (Modelo 11)</t>
        </is>
      </c>
      <c r="D33" s="9" t="inlineStr">
        <is>
          <t>Componentes</t>
        </is>
      </c>
      <c r="E33" s="10" t="inlineStr">
        <is>
          <t>2025-11-19</t>
        </is>
      </c>
      <c r="F33" s="11" t="n">
        <v>3759</v>
      </c>
      <c r="G33" s="11" t="n">
        <v>3759</v>
      </c>
      <c r="H33" s="11">
        <f>G33-F33</f>
        <v/>
      </c>
      <c r="I33" s="12">
        <f>H33/F33</f>
        <v/>
      </c>
      <c r="J33" s="9" t="inlineStr">
        <is>
          <t>Mariana Alcantara</t>
        </is>
      </c>
      <c r="K33" s="13" t="inlineStr">
        <is>
          <t>C03</t>
        </is>
      </c>
      <c r="L33" s="13">
        <f>IF(H33=0, "Correto", "Divergente")</f>
        <v/>
      </c>
    </row>
    <row r="34">
      <c r="A34" s="2" t="n">
        <v>33</v>
      </c>
      <c r="B34" s="2" t="n">
        <v>103</v>
      </c>
      <c r="C34" s="3" t="inlineStr">
        <is>
          <t>Monitor LED 21.5" Full HD (Modelo 14)</t>
        </is>
      </c>
      <c r="D34" s="3" t="inlineStr">
        <is>
          <t>Monitores</t>
        </is>
      </c>
      <c r="E34" s="4" t="inlineStr">
        <is>
          <t>2024-03-10</t>
        </is>
      </c>
      <c r="F34" s="5" t="n">
        <v>1602</v>
      </c>
      <c r="G34" s="5" t="n">
        <v>1602</v>
      </c>
      <c r="H34" s="5">
        <f>G34-F34</f>
        <v/>
      </c>
      <c r="I34" s="6">
        <f>H34/F34</f>
        <v/>
      </c>
      <c r="J34" s="3" t="inlineStr">
        <is>
          <t>Roberto Fernandes</t>
        </is>
      </c>
      <c r="K34" s="7" t="inlineStr">
        <is>
          <t>A01</t>
        </is>
      </c>
      <c r="L34" s="7">
        <f>IF(H34=0, "Correto", "Divergente")</f>
        <v/>
      </c>
    </row>
    <row r="35">
      <c r="A35" s="8" t="n">
        <v>34</v>
      </c>
      <c r="B35" s="8" t="n">
        <v>166</v>
      </c>
      <c r="C35" s="9" t="inlineStr">
        <is>
          <t>HD Externo Portátil 2TB (Modelo 2)</t>
        </is>
      </c>
      <c r="D35" s="9" t="inlineStr">
        <is>
          <t>Armazenamento</t>
        </is>
      </c>
      <c r="E35" s="10" t="inlineStr">
        <is>
          <t>2024-04-08</t>
        </is>
      </c>
      <c r="F35" s="11" t="n">
        <v>3702</v>
      </c>
      <c r="G35" s="11" t="n">
        <v>3845</v>
      </c>
      <c r="H35" s="11">
        <f>G35-F35</f>
        <v/>
      </c>
      <c r="I35" s="12">
        <f>H35/F35</f>
        <v/>
      </c>
      <c r="J35" s="9" t="inlineStr">
        <is>
          <t>Fernanda Vasconcelos</t>
        </is>
      </c>
      <c r="K35" s="13" t="inlineStr">
        <is>
          <t>C02</t>
        </is>
      </c>
      <c r="L35" s="13">
        <f>IF(H35=0, "Correto", "Divergente")</f>
        <v/>
      </c>
    </row>
    <row r="36">
      <c r="A36" s="2" t="n">
        <v>35</v>
      </c>
      <c r="B36" s="2" t="n">
        <v>183</v>
      </c>
      <c r="C36" s="3" t="inlineStr">
        <is>
          <t>Monitor 27" Curvo 144Hz (Modelo 4)</t>
        </is>
      </c>
      <c r="D36" s="3" t="inlineStr">
        <is>
          <t>Monitores</t>
        </is>
      </c>
      <c r="E36" s="4" t="inlineStr">
        <is>
          <t>2024-02-11</t>
        </is>
      </c>
      <c r="F36" s="5" t="n">
        <v>1058</v>
      </c>
      <c r="G36" s="5" t="n">
        <v>1058</v>
      </c>
      <c r="H36" s="5">
        <f>G36-F36</f>
        <v/>
      </c>
      <c r="I36" s="6">
        <f>H36/F36</f>
        <v/>
      </c>
      <c r="J36" s="3" t="inlineStr">
        <is>
          <t>Fernanda Vasconcelos</t>
        </is>
      </c>
      <c r="K36" s="7" t="inlineStr">
        <is>
          <t>C03</t>
        </is>
      </c>
      <c r="L36" s="7">
        <f>IF(H36=0, "Correto", "Divergente")</f>
        <v/>
      </c>
    </row>
    <row r="37">
      <c r="A37" s="8" t="n">
        <v>36</v>
      </c>
      <c r="B37" s="8" t="n">
        <v>36</v>
      </c>
      <c r="C37" s="9" t="inlineStr">
        <is>
          <t>Cartão de Memória MicroSD 128GB (Modelo 7)</t>
        </is>
      </c>
      <c r="D37" s="9" t="inlineStr">
        <is>
          <t>Armazenamento</t>
        </is>
      </c>
      <c r="E37" s="10" t="inlineStr">
        <is>
          <t>2024-11-24</t>
        </is>
      </c>
      <c r="F37" s="11" t="n">
        <v>1524</v>
      </c>
      <c r="G37" s="11" t="n">
        <v>1524</v>
      </c>
      <c r="H37" s="11">
        <f>G37-F37</f>
        <v/>
      </c>
      <c r="I37" s="12">
        <f>H37/F37</f>
        <v/>
      </c>
      <c r="J37" s="9" t="inlineStr">
        <is>
          <t>Gustavo Silveira</t>
        </is>
      </c>
      <c r="K37" s="13" t="inlineStr">
        <is>
          <t>C03</t>
        </is>
      </c>
      <c r="L37" s="13">
        <f>IF(H37=0, "Correto", "Divergente")</f>
        <v/>
      </c>
    </row>
    <row r="38">
      <c r="A38" s="2" t="n">
        <v>37</v>
      </c>
      <c r="B38" s="2" t="n">
        <v>107</v>
      </c>
      <c r="C38" s="3" t="inlineStr">
        <is>
          <t>Capa Protetora para Tablet (Modelo 3)</t>
        </is>
      </c>
      <c r="D38" s="3" t="inlineStr">
        <is>
          <t>Smartphones</t>
        </is>
      </c>
      <c r="E38" s="4" t="inlineStr">
        <is>
          <t>2024-06-10</t>
        </is>
      </c>
      <c r="F38" s="5" t="n">
        <v>3140</v>
      </c>
      <c r="G38" s="5" t="n">
        <v>3140</v>
      </c>
      <c r="H38" s="5">
        <f>G38-F38</f>
        <v/>
      </c>
      <c r="I38" s="6">
        <f>H38/F38</f>
        <v/>
      </c>
      <c r="J38" s="3" t="inlineStr">
        <is>
          <t>Beatriz Castilho</t>
        </is>
      </c>
      <c r="K38" s="7" t="inlineStr">
        <is>
          <t>A03</t>
        </is>
      </c>
      <c r="L38" s="7">
        <f>IF(H38=0, "Correto", "Divergente")</f>
        <v/>
      </c>
    </row>
    <row r="39">
      <c r="A39" s="8" t="n">
        <v>38</v>
      </c>
      <c r="B39" s="8" t="n">
        <v>68</v>
      </c>
      <c r="C39" s="9" t="inlineStr">
        <is>
          <t>Switch Gigabit 16 Portas (Modelo 9)</t>
        </is>
      </c>
      <c r="D39" s="9" t="inlineStr">
        <is>
          <t>Redes</t>
        </is>
      </c>
      <c r="E39" s="10" t="inlineStr">
        <is>
          <t>2026-08-08</t>
        </is>
      </c>
      <c r="F39" s="11" t="n">
        <v>4077</v>
      </c>
      <c r="G39" s="11" t="n">
        <v>4317</v>
      </c>
      <c r="H39" s="11">
        <f>G39-F39</f>
        <v/>
      </c>
      <c r="I39" s="12">
        <f>H39/F39</f>
        <v/>
      </c>
      <c r="J39" s="9" t="inlineStr">
        <is>
          <t>Ricardo Mendes</t>
        </is>
      </c>
      <c r="K39" s="13" t="inlineStr">
        <is>
          <t>C02</t>
        </is>
      </c>
      <c r="L39" s="13">
        <f>IF(H39=0, "Correto", "Divergente")</f>
        <v/>
      </c>
    </row>
    <row r="40">
      <c r="A40" s="2" t="n">
        <v>39</v>
      </c>
      <c r="B40" s="2" t="n">
        <v>46</v>
      </c>
      <c r="C40" s="3" t="inlineStr">
        <is>
          <t>HD Externo Portátil 2TB (Modelo 2)</t>
        </is>
      </c>
      <c r="D40" s="3" t="inlineStr">
        <is>
          <t>Armazenamento</t>
        </is>
      </c>
      <c r="E40" s="4" t="inlineStr">
        <is>
          <t>2025-10-29</t>
        </is>
      </c>
      <c r="F40" s="5" t="n">
        <v>4255</v>
      </c>
      <c r="G40" s="5" t="n">
        <v>4255</v>
      </c>
      <c r="H40" s="5">
        <f>G40-F40</f>
        <v/>
      </c>
      <c r="I40" s="6">
        <f>H40/F40</f>
        <v/>
      </c>
      <c r="J40" s="3" t="inlineStr">
        <is>
          <t>Mariana Alcantara</t>
        </is>
      </c>
      <c r="K40" s="7" t="inlineStr">
        <is>
          <t>C03</t>
        </is>
      </c>
      <c r="L40" s="7">
        <f>IF(H40=0, "Correto", "Divergente")</f>
        <v/>
      </c>
    </row>
    <row r="41">
      <c r="A41" s="8" t="n">
        <v>40</v>
      </c>
      <c r="B41" s="8" t="n">
        <v>135</v>
      </c>
      <c r="C41" s="9" t="inlineStr">
        <is>
          <t>Caixa de Som USB 10W (Modelo 1)</t>
        </is>
      </c>
      <c r="D41" s="9" t="inlineStr">
        <is>
          <t>Áudio</t>
        </is>
      </c>
      <c r="E41" s="10" t="inlineStr">
        <is>
          <t>2025-07-14</t>
        </is>
      </c>
      <c r="F41" s="11" t="n">
        <v>775</v>
      </c>
      <c r="G41" s="11" t="n">
        <v>766</v>
      </c>
      <c r="H41" s="11">
        <f>G41-F41</f>
        <v/>
      </c>
      <c r="I41" s="12">
        <f>H41/F41</f>
        <v/>
      </c>
      <c r="J41" s="9" t="inlineStr">
        <is>
          <t>Carlos Eduardo Rocha</t>
        </is>
      </c>
      <c r="K41" s="13" t="inlineStr">
        <is>
          <t>A02</t>
        </is>
      </c>
      <c r="L41" s="13">
        <f>IF(H41=0, "Correto", "Divergente")</f>
        <v/>
      </c>
    </row>
    <row r="42">
      <c r="A42" s="2" t="n">
        <v>41</v>
      </c>
      <c r="B42" s="2" t="n">
        <v>117</v>
      </c>
      <c r="C42" s="3" t="inlineStr">
        <is>
          <t>Tablet 10.1" Wi-Fi 64GB (Modelo 13)</t>
        </is>
      </c>
      <c r="D42" s="3" t="inlineStr">
        <is>
          <t>Smartphones</t>
        </is>
      </c>
      <c r="E42" s="4" t="inlineStr">
        <is>
          <t>2025-11-07</t>
        </is>
      </c>
      <c r="F42" s="5" t="n">
        <v>3343</v>
      </c>
      <c r="G42" s="5" t="n">
        <v>3343</v>
      </c>
      <c r="H42" s="5">
        <f>G42-F42</f>
        <v/>
      </c>
      <c r="I42" s="6">
        <f>H42/F42</f>
        <v/>
      </c>
      <c r="J42" s="3" t="inlineStr">
        <is>
          <t>Roberto Fernandes</t>
        </is>
      </c>
      <c r="K42" s="7" t="inlineStr">
        <is>
          <t>A01</t>
        </is>
      </c>
      <c r="L42" s="7">
        <f>IF(H42=0, "Correto", "Divergente")</f>
        <v/>
      </c>
    </row>
    <row r="43">
      <c r="A43" s="8" t="n">
        <v>42</v>
      </c>
      <c r="B43" s="8" t="n">
        <v>91</v>
      </c>
      <c r="C43" s="9" t="inlineStr">
        <is>
          <t>Desktop Core i5 8GB (Modelo 2)</t>
        </is>
      </c>
      <c r="D43" s="9" t="inlineStr">
        <is>
          <t>Informática</t>
        </is>
      </c>
      <c r="E43" s="10" t="inlineStr">
        <is>
          <t>2024-11-17</t>
        </is>
      </c>
      <c r="F43" s="11" t="n">
        <v>2882</v>
      </c>
      <c r="G43" s="11" t="n">
        <v>2882</v>
      </c>
      <c r="H43" s="11">
        <f>G43-F43</f>
        <v/>
      </c>
      <c r="I43" s="12">
        <f>H43/F43</f>
        <v/>
      </c>
      <c r="J43" s="9" t="inlineStr">
        <is>
          <t>Camila Azevedo</t>
        </is>
      </c>
      <c r="K43" s="13" t="inlineStr">
        <is>
          <t>C03</t>
        </is>
      </c>
      <c r="L43" s="13">
        <f>IF(H43=0, "Correto", "Divergente")</f>
        <v/>
      </c>
    </row>
    <row r="44">
      <c r="A44" s="2" t="n">
        <v>43</v>
      </c>
      <c r="B44" s="2" t="n">
        <v>56</v>
      </c>
      <c r="C44" s="3" t="inlineStr">
        <is>
          <t>SSD NVMe 1TB M.2 (Modelo 12)</t>
        </is>
      </c>
      <c r="D44" s="3" t="inlineStr">
        <is>
          <t>Armazenamento</t>
        </is>
      </c>
      <c r="E44" s="4" t="inlineStr">
        <is>
          <t>2024-08-12</t>
        </is>
      </c>
      <c r="F44" s="5" t="n">
        <v>2298</v>
      </c>
      <c r="G44" s="5" t="n">
        <v>2298</v>
      </c>
      <c r="H44" s="5">
        <f>G44-F44</f>
        <v/>
      </c>
      <c r="I44" s="6">
        <f>H44/F44</f>
        <v/>
      </c>
      <c r="J44" s="3" t="inlineStr">
        <is>
          <t>Camila Azevedo</t>
        </is>
      </c>
      <c r="K44" s="7" t="inlineStr">
        <is>
          <t>B01</t>
        </is>
      </c>
      <c r="L44" s="7">
        <f>IF(H44=0, "Correto", "Divergente")</f>
        <v/>
      </c>
    </row>
    <row r="45">
      <c r="A45" s="8" t="n">
        <v>44</v>
      </c>
      <c r="B45" s="8" t="n">
        <v>146</v>
      </c>
      <c r="C45" s="9" t="inlineStr">
        <is>
          <t>SSD NVMe 1TB M.2 (Modelo 12)</t>
        </is>
      </c>
      <c r="D45" s="9" t="inlineStr">
        <is>
          <t>Armazenamento</t>
        </is>
      </c>
      <c r="E45" s="10" t="inlineStr">
        <is>
          <t>2025-08-26</t>
        </is>
      </c>
      <c r="F45" s="11" t="n">
        <v>4611</v>
      </c>
      <c r="G45" s="11" t="n">
        <v>4611</v>
      </c>
      <c r="H45" s="11">
        <f>G45-F45</f>
        <v/>
      </c>
      <c r="I45" s="12">
        <f>H45/F45</f>
        <v/>
      </c>
      <c r="J45" s="9" t="inlineStr">
        <is>
          <t>Marcelo Fontes</t>
        </is>
      </c>
      <c r="K45" s="13" t="inlineStr">
        <is>
          <t>A03</t>
        </is>
      </c>
      <c r="L45" s="13">
        <f>IF(H45=0, "Correto", "Divergente")</f>
        <v/>
      </c>
    </row>
    <row r="46">
      <c r="A46" s="2" t="n">
        <v>45</v>
      </c>
      <c r="B46" s="2" t="n">
        <v>26</v>
      </c>
      <c r="C46" s="3" t="inlineStr">
        <is>
          <t>SSD NVMe 1TB M.2 (Modelo 12)</t>
        </is>
      </c>
      <c r="D46" s="3" t="inlineStr">
        <is>
          <t>Armazenamento</t>
        </is>
      </c>
      <c r="E46" s="4" t="inlineStr">
        <is>
          <t>2025-06-24</t>
        </is>
      </c>
      <c r="F46" s="5" t="n">
        <v>790</v>
      </c>
      <c r="G46" s="5" t="n">
        <v>715</v>
      </c>
      <c r="H46" s="5">
        <f>G46-F46</f>
        <v/>
      </c>
      <c r="I46" s="6">
        <f>H46/F46</f>
        <v/>
      </c>
      <c r="J46" s="3" t="inlineStr">
        <is>
          <t>Mariana Alcantara</t>
        </is>
      </c>
      <c r="K46" s="7" t="inlineStr">
        <is>
          <t>A01</t>
        </is>
      </c>
      <c r="L46" s="7">
        <f>IF(H46=0, "Correto", "Divergente")</f>
        <v/>
      </c>
    </row>
    <row r="47">
      <c r="A47" s="8" t="n">
        <v>46</v>
      </c>
      <c r="B47" s="8" t="n">
        <v>195</v>
      </c>
      <c r="C47" s="9" t="inlineStr">
        <is>
          <t>Caixa de Som USB 10W (Modelo 1)</t>
        </is>
      </c>
      <c r="D47" s="9" t="inlineStr">
        <is>
          <t>Áudio</t>
        </is>
      </c>
      <c r="E47" s="10" t="inlineStr">
        <is>
          <t>2025-12-30</t>
        </is>
      </c>
      <c r="F47" s="11" t="n">
        <v>1520</v>
      </c>
      <c r="G47" s="11" t="n">
        <v>1520</v>
      </c>
      <c r="H47" s="11">
        <f>G47-F47</f>
        <v/>
      </c>
      <c r="I47" s="12">
        <f>H47/F47</f>
        <v/>
      </c>
      <c r="J47" s="9" t="inlineStr">
        <is>
          <t>Mariana Alcantara</t>
        </is>
      </c>
      <c r="K47" s="13" t="inlineStr">
        <is>
          <t>C03</t>
        </is>
      </c>
      <c r="L47" s="13">
        <f>IF(H47=0, "Correto", "Divergente")</f>
        <v/>
      </c>
    </row>
    <row r="48">
      <c r="A48" s="2" t="n">
        <v>47</v>
      </c>
      <c r="B48" s="2" t="n">
        <v>81</v>
      </c>
      <c r="C48" s="3" t="inlineStr">
        <is>
          <t>Notebook Corporate i5 16GB (Modelo 7)</t>
        </is>
      </c>
      <c r="D48" s="3" t="inlineStr">
        <is>
          <t>Informática</t>
        </is>
      </c>
      <c r="E48" s="4" t="inlineStr">
        <is>
          <t>2025-07-20</t>
        </is>
      </c>
      <c r="F48" s="5" t="n">
        <v>4818</v>
      </c>
      <c r="G48" s="5" t="n">
        <v>4727</v>
      </c>
      <c r="H48" s="5">
        <f>G48-F48</f>
        <v/>
      </c>
      <c r="I48" s="6">
        <f>H48/F48</f>
        <v/>
      </c>
      <c r="J48" s="3" t="inlineStr">
        <is>
          <t>Beatriz Castilho</t>
        </is>
      </c>
      <c r="K48" s="7" t="inlineStr">
        <is>
          <t>A03</t>
        </is>
      </c>
      <c r="L48" s="7">
        <f>IF(H48=0, "Correto", "Divergente")</f>
        <v/>
      </c>
    </row>
    <row r="49">
      <c r="A49" s="8" t="n">
        <v>48</v>
      </c>
      <c r="B49" s="8" t="n">
        <v>67</v>
      </c>
      <c r="C49" s="9" t="inlineStr">
        <is>
          <t>Smartphone Empresarial 128GB (Modelo 8)</t>
        </is>
      </c>
      <c r="D49" s="9" t="inlineStr">
        <is>
          <t>Smartphones</t>
        </is>
      </c>
      <c r="E49" s="10" t="inlineStr">
        <is>
          <t>2025-06-08</t>
        </is>
      </c>
      <c r="F49" s="11" t="n">
        <v>516</v>
      </c>
      <c r="G49" s="11" t="n">
        <v>516</v>
      </c>
      <c r="H49" s="11">
        <f>G49-F49</f>
        <v/>
      </c>
      <c r="I49" s="12">
        <f>H49/F49</f>
        <v/>
      </c>
      <c r="J49" s="9" t="inlineStr">
        <is>
          <t>Ricardo Mendes</t>
        </is>
      </c>
      <c r="K49" s="13" t="inlineStr">
        <is>
          <t>C01</t>
        </is>
      </c>
      <c r="L49" s="13">
        <f>IF(H49=0, "Correto", "Divergente")</f>
        <v/>
      </c>
    </row>
    <row r="50">
      <c r="A50" s="2" t="n">
        <v>49</v>
      </c>
      <c r="B50" s="2" t="n">
        <v>4</v>
      </c>
      <c r="C50" s="3" t="inlineStr">
        <is>
          <t>Toner HP Preto Original (Modelo 5)</t>
        </is>
      </c>
      <c r="D50" s="3" t="inlineStr">
        <is>
          <t>Impressão</t>
        </is>
      </c>
      <c r="E50" s="4" t="inlineStr">
        <is>
          <t>2024-04-27</t>
        </is>
      </c>
      <c r="F50" s="5" t="n">
        <v>791</v>
      </c>
      <c r="G50" s="5" t="n">
        <v>791</v>
      </c>
      <c r="H50" s="5">
        <f>G50-F50</f>
        <v/>
      </c>
      <c r="I50" s="6">
        <f>H50/F50</f>
        <v/>
      </c>
      <c r="J50" s="3" t="inlineStr">
        <is>
          <t>Ricardo Mendes</t>
        </is>
      </c>
      <c r="K50" s="7" t="inlineStr">
        <is>
          <t>A02</t>
        </is>
      </c>
      <c r="L50" s="7">
        <f>IF(H50=0, "Correto", "Divergente")</f>
        <v/>
      </c>
    </row>
    <row r="51">
      <c r="A51" s="8" t="n">
        <v>50</v>
      </c>
      <c r="B51" s="8" t="n">
        <v>25</v>
      </c>
      <c r="C51" s="9" t="inlineStr">
        <is>
          <t>Headset USB com Cancelamento de Ruído (Modelo 11)</t>
        </is>
      </c>
      <c r="D51" s="9" t="inlineStr">
        <is>
          <t>Áudio</t>
        </is>
      </c>
      <c r="E51" s="10" t="inlineStr">
        <is>
          <t>2025-12-18</t>
        </is>
      </c>
      <c r="F51" s="11" t="n">
        <v>2581</v>
      </c>
      <c r="G51" s="11" t="n">
        <v>2471</v>
      </c>
      <c r="H51" s="11">
        <f>G51-F51</f>
        <v/>
      </c>
      <c r="I51" s="12">
        <f>H51/F51</f>
        <v/>
      </c>
      <c r="J51" s="9" t="inlineStr">
        <is>
          <t>Gustavo Silveira</t>
        </is>
      </c>
      <c r="K51" s="13" t="inlineStr">
        <is>
          <t>B03</t>
        </is>
      </c>
      <c r="L51" s="13">
        <f>IF(H51=0, "Correto", "Divergente")</f>
        <v/>
      </c>
    </row>
    <row r="52">
      <c r="A52" s="2" t="n">
        <v>51</v>
      </c>
      <c r="B52" s="2" t="n">
        <v>156</v>
      </c>
      <c r="C52" s="3" t="inlineStr">
        <is>
          <t>Cartão de Memória MicroSD 128GB (Modelo 7)</t>
        </is>
      </c>
      <c r="D52" s="3" t="inlineStr">
        <is>
          <t>Armazenamento</t>
        </is>
      </c>
      <c r="E52" s="4" t="inlineStr">
        <is>
          <t>2025-03-17</t>
        </is>
      </c>
      <c r="F52" s="5" t="n">
        <v>4867</v>
      </c>
      <c r="G52" s="5" t="n">
        <v>4867</v>
      </c>
      <c r="H52" s="5">
        <f>G52-F52</f>
        <v/>
      </c>
      <c r="I52" s="6">
        <f>H52/F52</f>
        <v/>
      </c>
      <c r="J52" s="3" t="inlineStr">
        <is>
          <t>Mariana Alcantara</t>
        </is>
      </c>
      <c r="K52" s="7" t="inlineStr">
        <is>
          <t>B03</t>
        </is>
      </c>
      <c r="L52" s="7">
        <f>IF(H52=0, "Correto", "Divergente")</f>
        <v/>
      </c>
    </row>
    <row r="53">
      <c r="A53" s="8" t="n">
        <v>52</v>
      </c>
      <c r="B53" s="8" t="n">
        <v>129</v>
      </c>
      <c r="C53" s="9" t="inlineStr">
        <is>
          <t>Filtro de Linha 6 Tomadas (Modelo 10)</t>
        </is>
      </c>
      <c r="D53" s="9" t="inlineStr">
        <is>
          <t>Acessórios</t>
        </is>
      </c>
      <c r="E53" s="10" t="inlineStr">
        <is>
          <t>2025-05-30</t>
        </is>
      </c>
      <c r="F53" s="11" t="n">
        <v>3188</v>
      </c>
      <c r="G53" s="11" t="n">
        <v>3188</v>
      </c>
      <c r="H53" s="11">
        <f>G53-F53</f>
        <v/>
      </c>
      <c r="I53" s="12">
        <f>H53/F53</f>
        <v/>
      </c>
      <c r="J53" s="9" t="inlineStr">
        <is>
          <t>Beatriz Castilho</t>
        </is>
      </c>
      <c r="K53" s="13" t="inlineStr">
        <is>
          <t>A01</t>
        </is>
      </c>
      <c r="L53" s="13">
        <f>IF(H53=0, "Correto", "Divergente")</f>
        <v/>
      </c>
    </row>
    <row r="54">
      <c r="A54" s="2" t="n">
        <v>53</v>
      </c>
      <c r="B54" s="2" t="n">
        <v>189</v>
      </c>
      <c r="C54" s="3" t="inlineStr">
        <is>
          <t>Mousepad Extra Grande (Modelo 10)</t>
        </is>
      </c>
      <c r="D54" s="3" t="inlineStr">
        <is>
          <t>Acessórios</t>
        </is>
      </c>
      <c r="E54" s="4" t="inlineStr">
        <is>
          <t>2026-06-13</t>
        </is>
      </c>
      <c r="F54" s="5" t="n">
        <v>194</v>
      </c>
      <c r="G54" s="5" t="n">
        <v>194</v>
      </c>
      <c r="H54" s="5">
        <f>G54-F54</f>
        <v/>
      </c>
      <c r="I54" s="6">
        <f>H54/F54</f>
        <v/>
      </c>
      <c r="J54" s="3" t="inlineStr">
        <is>
          <t>Beatriz Castilho</t>
        </is>
      </c>
      <c r="K54" s="7" t="inlineStr">
        <is>
          <t>B02</t>
        </is>
      </c>
      <c r="L54" s="7">
        <f>IF(H54=0, "Correto", "Divergente")</f>
        <v/>
      </c>
    </row>
    <row r="55">
      <c r="A55" s="8" t="n">
        <v>54</v>
      </c>
      <c r="B55" s="8" t="n">
        <v>187</v>
      </c>
      <c r="C55" s="9" t="inlineStr">
        <is>
          <t>Smartphone Empresarial 128GB (Modelo 8)</t>
        </is>
      </c>
      <c r="D55" s="9" t="inlineStr">
        <is>
          <t>Smartphones</t>
        </is>
      </c>
      <c r="E55" s="10" t="inlineStr">
        <is>
          <t>2024-09-07</t>
        </is>
      </c>
      <c r="F55" s="11" t="n">
        <v>2433</v>
      </c>
      <c r="G55" s="11" t="n">
        <v>2393</v>
      </c>
      <c r="H55" s="11">
        <f>G55-F55</f>
        <v/>
      </c>
      <c r="I55" s="12">
        <f>H55/F55</f>
        <v/>
      </c>
      <c r="J55" s="9" t="inlineStr">
        <is>
          <t>Camila Azevedo</t>
        </is>
      </c>
      <c r="K55" s="13" t="inlineStr">
        <is>
          <t>A01</t>
        </is>
      </c>
      <c r="L55" s="13">
        <f>IF(H55=0, "Correto", "Divergente")</f>
        <v/>
      </c>
    </row>
    <row r="56">
      <c r="A56" s="2" t="n">
        <v>55</v>
      </c>
      <c r="B56" s="2" t="n">
        <v>139</v>
      </c>
      <c r="C56" s="3" t="inlineStr">
        <is>
          <t>Mochila para Notebook 15.6" (Modelo 5)</t>
        </is>
      </c>
      <c r="D56" s="3" t="inlineStr">
        <is>
          <t>Acessórios</t>
        </is>
      </c>
      <c r="E56" s="4" t="inlineStr">
        <is>
          <t>2025-12-02</t>
        </is>
      </c>
      <c r="F56" s="5" t="n">
        <v>1618</v>
      </c>
      <c r="G56" s="5" t="n">
        <v>1618</v>
      </c>
      <c r="H56" s="5">
        <f>G56-F56</f>
        <v/>
      </c>
      <c r="I56" s="6">
        <f>H56/F56</f>
        <v/>
      </c>
      <c r="J56" s="3" t="inlineStr">
        <is>
          <t>Mariana Alcantara</t>
        </is>
      </c>
      <c r="K56" s="7" t="inlineStr">
        <is>
          <t>A03</t>
        </is>
      </c>
      <c r="L56" s="7">
        <f>IF(H56=0, "Correto", "Divergente")</f>
        <v/>
      </c>
    </row>
    <row r="57">
      <c r="A57" s="8" t="n">
        <v>56</v>
      </c>
      <c r="B57" s="8" t="n">
        <v>159</v>
      </c>
      <c r="C57" s="9" t="inlineStr">
        <is>
          <t>Hub USB-C 7 em 1 (Modelo 10)</t>
        </is>
      </c>
      <c r="D57" s="9" t="inlineStr">
        <is>
          <t>Acessórios</t>
        </is>
      </c>
      <c r="E57" s="10" t="inlineStr">
        <is>
          <t>2024-09-08</t>
        </is>
      </c>
      <c r="F57" s="11" t="n">
        <v>969</v>
      </c>
      <c r="G57" s="11" t="n">
        <v>969</v>
      </c>
      <c r="H57" s="11">
        <f>G57-F57</f>
        <v/>
      </c>
      <c r="I57" s="12">
        <f>H57/F57</f>
        <v/>
      </c>
      <c r="J57" s="9" t="inlineStr">
        <is>
          <t>Marcelo Fontes</t>
        </is>
      </c>
      <c r="K57" s="13" t="inlineStr">
        <is>
          <t>B03</t>
        </is>
      </c>
      <c r="L57" s="13">
        <f>IF(H57=0, "Correto", "Divergente")</f>
        <v/>
      </c>
    </row>
    <row r="58">
      <c r="A58" s="2" t="n">
        <v>57</v>
      </c>
      <c r="B58" s="2" t="n">
        <v>153</v>
      </c>
      <c r="C58" s="3" t="inlineStr">
        <is>
          <t>Monitor 27" Curvo 144Hz (Modelo 4)</t>
        </is>
      </c>
      <c r="D58" s="3" t="inlineStr">
        <is>
          <t>Monitores</t>
        </is>
      </c>
      <c r="E58" s="4" t="inlineStr">
        <is>
          <t>2025-09-10</t>
        </is>
      </c>
      <c r="F58" s="5" t="n">
        <v>236</v>
      </c>
      <c r="G58" s="5" t="n">
        <v>236</v>
      </c>
      <c r="H58" s="5">
        <f>G58-F58</f>
        <v/>
      </c>
      <c r="I58" s="6">
        <f>H58/F58</f>
        <v/>
      </c>
      <c r="J58" s="3" t="inlineStr">
        <is>
          <t>Roberto Fernandes</t>
        </is>
      </c>
      <c r="K58" s="7" t="inlineStr">
        <is>
          <t>B03</t>
        </is>
      </c>
      <c r="L58" s="7">
        <f>IF(H58=0, "Correto", "Divergente")</f>
        <v/>
      </c>
    </row>
    <row r="59">
      <c r="A59" s="8" t="n">
        <v>58</v>
      </c>
      <c r="B59" s="8" t="n">
        <v>107</v>
      </c>
      <c r="C59" s="9" t="inlineStr">
        <is>
          <t>Capa Protetora para Tablet (Modelo 3)</t>
        </is>
      </c>
      <c r="D59" s="9" t="inlineStr">
        <is>
          <t>Smartphones</t>
        </is>
      </c>
      <c r="E59" s="10" t="inlineStr">
        <is>
          <t>2026-02-25</t>
        </is>
      </c>
      <c r="F59" s="11" t="n">
        <v>3090</v>
      </c>
      <c r="G59" s="11" t="n">
        <v>3090</v>
      </c>
      <c r="H59" s="11">
        <f>G59-F59</f>
        <v/>
      </c>
      <c r="I59" s="12">
        <f>H59/F59</f>
        <v/>
      </c>
      <c r="J59" s="9" t="inlineStr">
        <is>
          <t>Gustavo Silveira</t>
        </is>
      </c>
      <c r="K59" s="13" t="inlineStr">
        <is>
          <t>B01</t>
        </is>
      </c>
      <c r="L59" s="13">
        <f>IF(H59=0, "Correto", "Divergente")</f>
        <v/>
      </c>
    </row>
    <row r="60">
      <c r="A60" s="2" t="n">
        <v>59</v>
      </c>
      <c r="B60" s="2" t="n">
        <v>199</v>
      </c>
      <c r="C60" s="3" t="inlineStr">
        <is>
          <t>Filtro de Linha 6 Tomadas (Modelo 5)</t>
        </is>
      </c>
      <c r="D60" s="3" t="inlineStr">
        <is>
          <t>Acessórios</t>
        </is>
      </c>
      <c r="E60" s="4" t="inlineStr">
        <is>
          <t>2024-09-13</t>
        </is>
      </c>
      <c r="F60" s="5" t="n">
        <v>1503</v>
      </c>
      <c r="G60" s="5" t="n">
        <v>1503</v>
      </c>
      <c r="H60" s="5">
        <f>G60-F60</f>
        <v/>
      </c>
      <c r="I60" s="6">
        <f>H60/F60</f>
        <v/>
      </c>
      <c r="J60" s="3" t="inlineStr">
        <is>
          <t>Marcelo Fontes</t>
        </is>
      </c>
      <c r="K60" s="7" t="inlineStr">
        <is>
          <t>C03</t>
        </is>
      </c>
      <c r="L60" s="7">
        <f>IF(H60=0, "Correto", "Divergente")</f>
        <v/>
      </c>
    </row>
    <row r="61">
      <c r="A61" s="8" t="n">
        <v>60</v>
      </c>
      <c r="B61" s="8" t="n">
        <v>102</v>
      </c>
      <c r="C61" s="9" t="inlineStr">
        <is>
          <t>Mouse Sem Fio Bluetooth (Modelo 13)</t>
        </is>
      </c>
      <c r="D61" s="9" t="inlineStr">
        <is>
          <t>Periféricos</t>
        </is>
      </c>
      <c r="E61" s="10" t="inlineStr">
        <is>
          <t>2025-06-06</t>
        </is>
      </c>
      <c r="F61" s="11" t="n">
        <v>1210</v>
      </c>
      <c r="G61" s="11" t="n">
        <v>1210</v>
      </c>
      <c r="H61" s="11">
        <f>G61-F61</f>
        <v/>
      </c>
      <c r="I61" s="12">
        <f>H61/F61</f>
        <v/>
      </c>
      <c r="J61" s="9" t="inlineStr">
        <is>
          <t>Carlos Eduardo Rocha</t>
        </is>
      </c>
      <c r="K61" s="13" t="inlineStr">
        <is>
          <t>B02</t>
        </is>
      </c>
      <c r="L61" s="13">
        <f>IF(H61=0, "Correto", "Divergente")</f>
        <v/>
      </c>
    </row>
    <row r="62">
      <c r="A62" s="2" t="n">
        <v>61</v>
      </c>
      <c r="B62" s="2" t="n">
        <v>139</v>
      </c>
      <c r="C62" s="3" t="inlineStr">
        <is>
          <t>Mochila para Notebook 15.6" (Modelo 5)</t>
        </is>
      </c>
      <c r="D62" s="3" t="inlineStr">
        <is>
          <t>Acessórios</t>
        </is>
      </c>
      <c r="E62" s="4" t="inlineStr">
        <is>
          <t>2026-09-07</t>
        </is>
      </c>
      <c r="F62" s="5" t="n">
        <v>3424</v>
      </c>
      <c r="G62" s="5" t="n">
        <v>3424</v>
      </c>
      <c r="H62" s="5">
        <f>G62-F62</f>
        <v/>
      </c>
      <c r="I62" s="6">
        <f>H62/F62</f>
        <v/>
      </c>
      <c r="J62" s="3" t="inlineStr">
        <is>
          <t>Beatriz Castilho</t>
        </is>
      </c>
      <c r="K62" s="7" t="inlineStr">
        <is>
          <t>A03</t>
        </is>
      </c>
      <c r="L62" s="7">
        <f>IF(H62=0, "Correto", "Divergente")</f>
        <v/>
      </c>
    </row>
    <row r="63">
      <c r="A63" s="8" t="n">
        <v>62</v>
      </c>
      <c r="B63" s="8" t="n">
        <v>161</v>
      </c>
      <c r="C63" s="9" t="inlineStr">
        <is>
          <t>Notebook Corporate i5 16GB (Modelo 12)</t>
        </is>
      </c>
      <c r="D63" s="9" t="inlineStr">
        <is>
          <t>Informática</t>
        </is>
      </c>
      <c r="E63" s="10" t="inlineStr">
        <is>
          <t>2024-07-02</t>
        </is>
      </c>
      <c r="F63" s="11" t="n">
        <v>1469</v>
      </c>
      <c r="G63" s="11" t="n">
        <v>1469</v>
      </c>
      <c r="H63" s="11">
        <f>G63-F63</f>
        <v/>
      </c>
      <c r="I63" s="12">
        <f>H63/F63</f>
        <v/>
      </c>
      <c r="J63" s="9" t="inlineStr">
        <is>
          <t>Marcelo Fontes</t>
        </is>
      </c>
      <c r="K63" s="13" t="inlineStr">
        <is>
          <t>B02</t>
        </is>
      </c>
      <c r="L63" s="13">
        <f>IF(H63=0, "Correto", "Divergente")</f>
        <v/>
      </c>
    </row>
    <row r="64">
      <c r="A64" s="2" t="n">
        <v>63</v>
      </c>
      <c r="B64" s="2" t="n">
        <v>88</v>
      </c>
      <c r="C64" s="3" t="inlineStr">
        <is>
          <t>Access Point Wi-Fi Corporativo (Modelo 14)</t>
        </is>
      </c>
      <c r="D64" s="3" t="inlineStr">
        <is>
          <t>Redes</t>
        </is>
      </c>
      <c r="E64" s="4" t="inlineStr">
        <is>
          <t>2026-12-01</t>
        </is>
      </c>
      <c r="F64" s="5" t="n">
        <v>2601</v>
      </c>
      <c r="G64" s="5" t="n">
        <v>2601</v>
      </c>
      <c r="H64" s="5">
        <f>G64-F64</f>
        <v/>
      </c>
      <c r="I64" s="6">
        <f>H64/F64</f>
        <v/>
      </c>
      <c r="J64" s="3" t="inlineStr">
        <is>
          <t>Carlos Eduardo Rocha</t>
        </is>
      </c>
      <c r="K64" s="7" t="inlineStr">
        <is>
          <t>B01</t>
        </is>
      </c>
      <c r="L64" s="7">
        <f>IF(H64=0, "Correto", "Divergente")</f>
        <v/>
      </c>
    </row>
    <row r="65">
      <c r="A65" s="8" t="n">
        <v>64</v>
      </c>
      <c r="B65" s="8" t="n">
        <v>121</v>
      </c>
      <c r="C65" s="9" t="inlineStr">
        <is>
          <t>Notebook Corporate i5 16GB (Modelo 2)</t>
        </is>
      </c>
      <c r="D65" s="9" t="inlineStr">
        <is>
          <t>Informática</t>
        </is>
      </c>
      <c r="E65" s="10" t="inlineStr">
        <is>
          <t>2024-04-29</t>
        </is>
      </c>
      <c r="F65" s="11" t="n">
        <v>1818</v>
      </c>
      <c r="G65" s="11" t="n">
        <v>1818</v>
      </c>
      <c r="H65" s="11">
        <f>G65-F65</f>
        <v/>
      </c>
      <c r="I65" s="12">
        <f>H65/F65</f>
        <v/>
      </c>
      <c r="J65" s="9" t="inlineStr">
        <is>
          <t>Roberto Fernandes</t>
        </is>
      </c>
      <c r="K65" s="13" t="inlineStr">
        <is>
          <t>C01</t>
        </is>
      </c>
      <c r="L65" s="13">
        <f>IF(H65=0, "Correto", "Divergente")</f>
        <v/>
      </c>
    </row>
    <row r="66">
      <c r="A66" s="2" t="n">
        <v>65</v>
      </c>
      <c r="B66" s="2" t="n">
        <v>182</v>
      </c>
      <c r="C66" s="3" t="inlineStr">
        <is>
          <t>Mesa Digitalizadora (Modelo 3)</t>
        </is>
      </c>
      <c r="D66" s="3" t="inlineStr">
        <is>
          <t>Periféricos</t>
        </is>
      </c>
      <c r="E66" s="4" t="inlineStr">
        <is>
          <t>2026-01-07</t>
        </is>
      </c>
      <c r="F66" s="5" t="n">
        <v>1905</v>
      </c>
      <c r="G66" s="5" t="n">
        <v>1905</v>
      </c>
      <c r="H66" s="5">
        <f>G66-F66</f>
        <v/>
      </c>
      <c r="I66" s="6">
        <f>H66/F66</f>
        <v/>
      </c>
      <c r="J66" s="3" t="inlineStr">
        <is>
          <t>Ricardo Mendes</t>
        </is>
      </c>
      <c r="K66" s="7" t="inlineStr">
        <is>
          <t>B03</t>
        </is>
      </c>
      <c r="L66" s="7">
        <f>IF(H66=0, "Correto", "Divergente")</f>
        <v/>
      </c>
    </row>
    <row r="67">
      <c r="A67" s="8" t="n">
        <v>66</v>
      </c>
      <c r="B67" s="8" t="n">
        <v>52</v>
      </c>
      <c r="C67" s="9" t="inlineStr">
        <is>
          <t>Mouse Óptico USB (Modelo 8)</t>
        </is>
      </c>
      <c r="D67" s="9" t="inlineStr">
        <is>
          <t>Periféricos</t>
        </is>
      </c>
      <c r="E67" s="10" t="inlineStr">
        <is>
          <t>2026-02-06</t>
        </is>
      </c>
      <c r="F67" s="11" t="n">
        <v>2942</v>
      </c>
      <c r="G67" s="11" t="n">
        <v>2942</v>
      </c>
      <c r="H67" s="11">
        <f>G67-F67</f>
        <v/>
      </c>
      <c r="I67" s="12">
        <f>H67/F67</f>
        <v/>
      </c>
      <c r="J67" s="9" t="inlineStr">
        <is>
          <t>Patricia Prado</t>
        </is>
      </c>
      <c r="K67" s="13" t="inlineStr">
        <is>
          <t>C03</t>
        </is>
      </c>
      <c r="L67" s="13">
        <f>IF(H67=0, "Correto", "Divergente")</f>
        <v/>
      </c>
    </row>
    <row r="68">
      <c r="A68" s="2" t="n">
        <v>67</v>
      </c>
      <c r="B68" s="2" t="n">
        <v>122</v>
      </c>
      <c r="C68" s="3" t="inlineStr">
        <is>
          <t>Mouse Óptico USB (Modelo 3)</t>
        </is>
      </c>
      <c r="D68" s="3" t="inlineStr">
        <is>
          <t>Periféricos</t>
        </is>
      </c>
      <c r="E68" s="4" t="inlineStr">
        <is>
          <t>2025-10-01</t>
        </is>
      </c>
      <c r="F68" s="5" t="n">
        <v>1540</v>
      </c>
      <c r="G68" s="5" t="n">
        <v>1540</v>
      </c>
      <c r="H68" s="5">
        <f>G68-F68</f>
        <v/>
      </c>
      <c r="I68" s="6">
        <f>H68/F68</f>
        <v/>
      </c>
      <c r="J68" s="3" t="inlineStr">
        <is>
          <t>Gustavo Silveira</t>
        </is>
      </c>
      <c r="K68" s="7" t="inlineStr">
        <is>
          <t>A03</t>
        </is>
      </c>
      <c r="L68" s="7">
        <f>IF(H68=0, "Correto", "Divergente")</f>
        <v/>
      </c>
    </row>
    <row r="69">
      <c r="A69" s="8" t="n">
        <v>68</v>
      </c>
      <c r="B69" s="8" t="n">
        <v>125</v>
      </c>
      <c r="C69" s="9" t="inlineStr">
        <is>
          <t>Caixa de Som Bluetooth Portátil (Modelo 6)</t>
        </is>
      </c>
      <c r="D69" s="9" t="inlineStr">
        <is>
          <t>Áudio</t>
        </is>
      </c>
      <c r="E69" s="10" t="inlineStr">
        <is>
          <t>2024-01-11</t>
        </is>
      </c>
      <c r="F69" s="11" t="n">
        <v>2904</v>
      </c>
      <c r="G69" s="11" t="n">
        <v>3026</v>
      </c>
      <c r="H69" s="11">
        <f>G69-F69</f>
        <v/>
      </c>
      <c r="I69" s="12">
        <f>H69/F69</f>
        <v/>
      </c>
      <c r="J69" s="9" t="inlineStr">
        <is>
          <t>Gustavo Silveira</t>
        </is>
      </c>
      <c r="K69" s="13" t="inlineStr">
        <is>
          <t>A01</t>
        </is>
      </c>
      <c r="L69" s="13">
        <f>IF(H69=0, "Correto", "Divergente")</f>
        <v/>
      </c>
    </row>
    <row r="70">
      <c r="A70" s="2" t="n">
        <v>69</v>
      </c>
      <c r="B70" s="2" t="n">
        <v>164</v>
      </c>
      <c r="C70" s="3" t="inlineStr">
        <is>
          <t>Multifuncional Tanque de Tinta (Modelo 15)</t>
        </is>
      </c>
      <c r="D70" s="3" t="inlineStr">
        <is>
          <t>Impressão</t>
        </is>
      </c>
      <c r="E70" s="4" t="inlineStr">
        <is>
          <t>2024-12-19</t>
        </is>
      </c>
      <c r="F70" s="5" t="n">
        <v>690</v>
      </c>
      <c r="G70" s="5" t="n">
        <v>690</v>
      </c>
      <c r="H70" s="5">
        <f>G70-F70</f>
        <v/>
      </c>
      <c r="I70" s="6">
        <f>H70/F70</f>
        <v/>
      </c>
      <c r="J70" s="3" t="inlineStr">
        <is>
          <t>Marcelo Fontes</t>
        </is>
      </c>
      <c r="K70" s="7" t="inlineStr">
        <is>
          <t>B02</t>
        </is>
      </c>
      <c r="L70" s="7">
        <f>IF(H70=0, "Correto", "Divergente")</f>
        <v/>
      </c>
    </row>
    <row r="71">
      <c r="A71" s="8" t="n">
        <v>70</v>
      </c>
      <c r="B71" s="8" t="n">
        <v>36</v>
      </c>
      <c r="C71" s="9" t="inlineStr">
        <is>
          <t>Cartão de Memória MicroSD 128GB (Modelo 7)</t>
        </is>
      </c>
      <c r="D71" s="9" t="inlineStr">
        <is>
          <t>Armazenamento</t>
        </is>
      </c>
      <c r="E71" s="10" t="inlineStr">
        <is>
          <t>2024-07-25</t>
        </is>
      </c>
      <c r="F71" s="11" t="n">
        <v>151</v>
      </c>
      <c r="G71" s="11" t="n">
        <v>151</v>
      </c>
      <c r="H71" s="11">
        <f>G71-F71</f>
        <v/>
      </c>
      <c r="I71" s="12">
        <f>H71/F71</f>
        <v/>
      </c>
      <c r="J71" s="9" t="inlineStr">
        <is>
          <t>Camila Azevedo</t>
        </is>
      </c>
      <c r="K71" s="13" t="inlineStr">
        <is>
          <t>B02</t>
        </is>
      </c>
      <c r="L71" s="13">
        <f>IF(H71=0, "Correto", "Divergente")</f>
        <v/>
      </c>
    </row>
    <row r="72">
      <c r="A72" s="2" t="n">
        <v>71</v>
      </c>
      <c r="B72" s="2" t="n">
        <v>147</v>
      </c>
      <c r="C72" s="3" t="inlineStr">
        <is>
          <t>Tablet 10.1" Wi-Fi 64GB (Modelo 13)</t>
        </is>
      </c>
      <c r="D72" s="3" t="inlineStr">
        <is>
          <t>Smartphones</t>
        </is>
      </c>
      <c r="E72" s="4" t="inlineStr">
        <is>
          <t>2024-04-01</t>
        </is>
      </c>
      <c r="F72" s="5" t="n">
        <v>3222</v>
      </c>
      <c r="G72" s="5" t="n">
        <v>3222</v>
      </c>
      <c r="H72" s="5">
        <f>G72-F72</f>
        <v/>
      </c>
      <c r="I72" s="6">
        <f>H72/F72</f>
        <v/>
      </c>
      <c r="J72" s="3" t="inlineStr">
        <is>
          <t>Marcelo Fontes</t>
        </is>
      </c>
      <c r="K72" s="7" t="inlineStr">
        <is>
          <t>A03</t>
        </is>
      </c>
      <c r="L72" s="7">
        <f>IF(H72=0, "Correto", "Divergente")</f>
        <v/>
      </c>
    </row>
    <row r="73">
      <c r="A73" s="8" t="n">
        <v>72</v>
      </c>
      <c r="B73" s="8" t="n">
        <v>131</v>
      </c>
      <c r="C73" s="9" t="inlineStr">
        <is>
          <t>Desktop Core i5 8GB (Modelo 12)</t>
        </is>
      </c>
      <c r="D73" s="9" t="inlineStr">
        <is>
          <t>Informática</t>
        </is>
      </c>
      <c r="E73" s="10" t="inlineStr">
        <is>
          <t>2024-08-02</t>
        </is>
      </c>
      <c r="F73" s="11" t="n">
        <v>701</v>
      </c>
      <c r="G73" s="11" t="n">
        <v>701</v>
      </c>
      <c r="H73" s="11">
        <f>G73-F73</f>
        <v/>
      </c>
      <c r="I73" s="12">
        <f>H73/F73</f>
        <v/>
      </c>
      <c r="J73" s="9" t="inlineStr">
        <is>
          <t>Gustavo Silveira</t>
        </is>
      </c>
      <c r="K73" s="13" t="inlineStr">
        <is>
          <t>B03</t>
        </is>
      </c>
      <c r="L73" s="13">
        <f>IF(H73=0, "Correto", "Divergente")</f>
        <v/>
      </c>
    </row>
    <row r="74">
      <c r="A74" s="2" t="n">
        <v>73</v>
      </c>
      <c r="B74" s="2" t="n">
        <v>141</v>
      </c>
      <c r="C74" s="3" t="inlineStr">
        <is>
          <t>Mini PC Ryzen 5 (Modelo 7)</t>
        </is>
      </c>
      <c r="D74" s="3" t="inlineStr">
        <is>
          <t>Informática</t>
        </is>
      </c>
      <c r="E74" s="4" t="inlineStr">
        <is>
          <t>2025-06-19</t>
        </is>
      </c>
      <c r="F74" s="5" t="n">
        <v>2543</v>
      </c>
      <c r="G74" s="5" t="n">
        <v>2543</v>
      </c>
      <c r="H74" s="5">
        <f>G74-F74</f>
        <v/>
      </c>
      <c r="I74" s="6">
        <f>H74/F74</f>
        <v/>
      </c>
      <c r="J74" s="3" t="inlineStr">
        <is>
          <t>Camila Azevedo</t>
        </is>
      </c>
      <c r="K74" s="7" t="inlineStr">
        <is>
          <t>B01</t>
        </is>
      </c>
      <c r="L74" s="7">
        <f>IF(H74=0, "Correto", "Divergente")</f>
        <v/>
      </c>
    </row>
    <row r="75">
      <c r="A75" s="8" t="n">
        <v>74</v>
      </c>
      <c r="B75" s="8" t="n">
        <v>42</v>
      </c>
      <c r="C75" s="9" t="inlineStr">
        <is>
          <t>Mesa Digitalizadora (Modelo 13)</t>
        </is>
      </c>
      <c r="D75" s="9" t="inlineStr">
        <is>
          <t>Periféricos</t>
        </is>
      </c>
      <c r="E75" s="10" t="inlineStr">
        <is>
          <t>2025-08-22</t>
        </is>
      </c>
      <c r="F75" s="11" t="n">
        <v>2420</v>
      </c>
      <c r="G75" s="11" t="n">
        <v>2420</v>
      </c>
      <c r="H75" s="11">
        <f>G75-F75</f>
        <v/>
      </c>
      <c r="I75" s="12">
        <f>H75/F75</f>
        <v/>
      </c>
      <c r="J75" s="9" t="inlineStr">
        <is>
          <t>Beatriz Castilho</t>
        </is>
      </c>
      <c r="K75" s="13" t="inlineStr">
        <is>
          <t>A03</t>
        </is>
      </c>
      <c r="L75" s="13">
        <f>IF(H75=0, "Correto", "Divergente")</f>
        <v/>
      </c>
    </row>
    <row r="76">
      <c r="A76" s="2" t="n">
        <v>75</v>
      </c>
      <c r="B76" s="2" t="n">
        <v>100</v>
      </c>
      <c r="C76" s="3" t="inlineStr">
        <is>
          <t>Fonte Atx 500W 80 Plus (Modelo 11)</t>
        </is>
      </c>
      <c r="D76" s="3" t="inlineStr">
        <is>
          <t>Componentes</t>
        </is>
      </c>
      <c r="E76" s="4" t="inlineStr">
        <is>
          <t>2025-01-21</t>
        </is>
      </c>
      <c r="F76" s="5" t="n">
        <v>78</v>
      </c>
      <c r="G76" s="5" t="n">
        <v>80</v>
      </c>
      <c r="H76" s="5">
        <f>G76-F76</f>
        <v/>
      </c>
      <c r="I76" s="6">
        <f>H76/F76</f>
        <v/>
      </c>
      <c r="J76" s="3" t="inlineStr">
        <is>
          <t>Patricia Prado</t>
        </is>
      </c>
      <c r="K76" s="7" t="inlineStr">
        <is>
          <t>C01</t>
        </is>
      </c>
      <c r="L76" s="7">
        <f>IF(H76=0, "Correto", "Divergente")</f>
        <v/>
      </c>
    </row>
    <row r="77">
      <c r="A77" s="8" t="n">
        <v>76</v>
      </c>
      <c r="B77" s="8" t="n">
        <v>92</v>
      </c>
      <c r="C77" s="9" t="inlineStr">
        <is>
          <t>Teclado Mecânico RGB (Modelo 3)</t>
        </is>
      </c>
      <c r="D77" s="9" t="inlineStr">
        <is>
          <t>Periféricos</t>
        </is>
      </c>
      <c r="E77" s="10" t="inlineStr">
        <is>
          <t>2024-12-15</t>
        </is>
      </c>
      <c r="F77" s="11" t="n">
        <v>4229</v>
      </c>
      <c r="G77" s="11" t="n">
        <v>4229</v>
      </c>
      <c r="H77" s="11">
        <f>G77-F77</f>
        <v/>
      </c>
      <c r="I77" s="12">
        <f>H77/F77</f>
        <v/>
      </c>
      <c r="J77" s="9" t="inlineStr">
        <is>
          <t>Beatriz Castilho</t>
        </is>
      </c>
      <c r="K77" s="13" t="inlineStr">
        <is>
          <t>C03</t>
        </is>
      </c>
      <c r="L77" s="13">
        <f>IF(H77=0, "Correto", "Divergente")</f>
        <v/>
      </c>
    </row>
    <row r="78">
      <c r="A78" s="2" t="n">
        <v>77</v>
      </c>
      <c r="B78" s="2" t="n">
        <v>38</v>
      </c>
      <c r="C78" s="3" t="inlineStr">
        <is>
          <t>Switch Gigabit 16 Portas (Modelo 9)</t>
        </is>
      </c>
      <c r="D78" s="3" t="inlineStr">
        <is>
          <t>Redes</t>
        </is>
      </c>
      <c r="E78" s="4" t="inlineStr">
        <is>
          <t>2024-12-01</t>
        </is>
      </c>
      <c r="F78" s="5" t="n">
        <v>233</v>
      </c>
      <c r="G78" s="5" t="n">
        <v>238</v>
      </c>
      <c r="H78" s="5">
        <f>G78-F78</f>
        <v/>
      </c>
      <c r="I78" s="6">
        <f>H78/F78</f>
        <v/>
      </c>
      <c r="J78" s="3" t="inlineStr">
        <is>
          <t>Carlos Eduardo Rocha</t>
        </is>
      </c>
      <c r="K78" s="7" t="inlineStr">
        <is>
          <t>B03</t>
        </is>
      </c>
      <c r="L78" s="7">
        <f>IF(H78=0, "Correto", "Divergente")</f>
        <v/>
      </c>
    </row>
    <row r="79">
      <c r="A79" s="8" t="n">
        <v>78</v>
      </c>
      <c r="B79" s="8" t="n">
        <v>17</v>
      </c>
      <c r="C79" s="9" t="inlineStr">
        <is>
          <t>Capa Protetora para Tablet (Modelo 3)</t>
        </is>
      </c>
      <c r="D79" s="9" t="inlineStr">
        <is>
          <t>Smartphones</t>
        </is>
      </c>
      <c r="E79" s="10" t="inlineStr">
        <is>
          <t>2026-01-23</t>
        </is>
      </c>
      <c r="F79" s="11" t="n">
        <v>2480</v>
      </c>
      <c r="G79" s="11" t="n">
        <v>2480</v>
      </c>
      <c r="H79" s="11">
        <f>G79-F79</f>
        <v/>
      </c>
      <c r="I79" s="12">
        <f>H79/F79</f>
        <v/>
      </c>
      <c r="J79" s="9" t="inlineStr">
        <is>
          <t>Roberto Fernandes</t>
        </is>
      </c>
      <c r="K79" s="13" t="inlineStr">
        <is>
          <t>Depósito Externo</t>
        </is>
      </c>
      <c r="L79" s="13">
        <f>IF(H79=0, "Correto", "Divergente")</f>
        <v/>
      </c>
    </row>
    <row r="80">
      <c r="A80" s="2" t="n">
        <v>79</v>
      </c>
      <c r="B80" s="2" t="n">
        <v>157</v>
      </c>
      <c r="C80" s="3" t="inlineStr">
        <is>
          <t>Smartphone Empresarial 128GB (Modelo 8)</t>
        </is>
      </c>
      <c r="D80" s="3" t="inlineStr">
        <is>
          <t>Smartphones</t>
        </is>
      </c>
      <c r="E80" s="4" t="inlineStr">
        <is>
          <t>2025-05-23</t>
        </is>
      </c>
      <c r="F80" s="5" t="n">
        <v>1037</v>
      </c>
      <c r="G80" s="5" t="n">
        <v>1037</v>
      </c>
      <c r="H80" s="5">
        <f>G80-F80</f>
        <v/>
      </c>
      <c r="I80" s="6">
        <f>H80/F80</f>
        <v/>
      </c>
      <c r="J80" s="3" t="inlineStr">
        <is>
          <t>Beatriz Castilho</t>
        </is>
      </c>
      <c r="K80" s="7" t="inlineStr">
        <is>
          <t>C02</t>
        </is>
      </c>
      <c r="L80" s="7">
        <f>IF(H80=0, "Correto", "Divergente")</f>
        <v/>
      </c>
    </row>
    <row r="81">
      <c r="A81" s="8" t="n">
        <v>80</v>
      </c>
      <c r="B81" s="8" t="n">
        <v>28</v>
      </c>
      <c r="C81" s="9" t="inlineStr">
        <is>
          <t>Access Point Wi-Fi Corporativo (Modelo 14)</t>
        </is>
      </c>
      <c r="D81" s="9" t="inlineStr">
        <is>
          <t>Redes</t>
        </is>
      </c>
      <c r="E81" s="10" t="inlineStr">
        <is>
          <t>2024-05-29</t>
        </is>
      </c>
      <c r="F81" s="11" t="n">
        <v>3123</v>
      </c>
      <c r="G81" s="11" t="n">
        <v>3123</v>
      </c>
      <c r="H81" s="11">
        <f>G81-F81</f>
        <v/>
      </c>
      <c r="I81" s="12">
        <f>H81/F81</f>
        <v/>
      </c>
      <c r="J81" s="9" t="inlineStr">
        <is>
          <t>Ricardo Mendes</t>
        </is>
      </c>
      <c r="K81" s="13" t="inlineStr">
        <is>
          <t>A02</t>
        </is>
      </c>
      <c r="L81" s="13">
        <f>IF(H81=0, "Correto", "Divergente")</f>
        <v/>
      </c>
    </row>
    <row r="82">
      <c r="A82" s="2" t="n">
        <v>81</v>
      </c>
      <c r="B82" s="2" t="n">
        <v>90</v>
      </c>
      <c r="C82" s="3" t="inlineStr">
        <is>
          <t>Cooler para Processador 120mm (Modelo 1)</t>
        </is>
      </c>
      <c r="D82" s="3" t="inlineStr">
        <is>
          <t>Componentes</t>
        </is>
      </c>
      <c r="E82" s="4" t="inlineStr">
        <is>
          <t>2026-08-29</t>
        </is>
      </c>
      <c r="F82" s="5" t="n">
        <v>4086</v>
      </c>
      <c r="G82" s="5" t="n">
        <v>4086</v>
      </c>
      <c r="H82" s="5">
        <f>G82-F82</f>
        <v/>
      </c>
      <c r="I82" s="6">
        <f>H82/F82</f>
        <v/>
      </c>
      <c r="J82" s="3" t="inlineStr">
        <is>
          <t>Marcelo Fontes</t>
        </is>
      </c>
      <c r="K82" s="7" t="inlineStr">
        <is>
          <t>B01</t>
        </is>
      </c>
      <c r="L82" s="7">
        <f>IF(H82=0, "Correto", "Divergente")</f>
        <v/>
      </c>
    </row>
    <row r="83">
      <c r="A83" s="8" t="n">
        <v>82</v>
      </c>
      <c r="B83" s="8" t="n">
        <v>92</v>
      </c>
      <c r="C83" s="9" t="inlineStr">
        <is>
          <t>Teclado Mecânico RGB (Modelo 3)</t>
        </is>
      </c>
      <c r="D83" s="9" t="inlineStr">
        <is>
          <t>Periféricos</t>
        </is>
      </c>
      <c r="E83" s="10" t="inlineStr">
        <is>
          <t>2026-07-22</t>
        </is>
      </c>
      <c r="F83" s="11" t="n">
        <v>4795</v>
      </c>
      <c r="G83" s="11" t="n">
        <v>4795</v>
      </c>
      <c r="H83" s="11">
        <f>G83-F83</f>
        <v/>
      </c>
      <c r="I83" s="12">
        <f>H83/F83</f>
        <v/>
      </c>
      <c r="J83" s="9" t="inlineStr">
        <is>
          <t>Mariana Alcantara</t>
        </is>
      </c>
      <c r="K83" s="13" t="inlineStr">
        <is>
          <t>A02</t>
        </is>
      </c>
      <c r="L83" s="13">
        <f>IF(H83=0, "Correto", "Divergente")</f>
        <v/>
      </c>
    </row>
    <row r="84">
      <c r="A84" s="2" t="n">
        <v>83</v>
      </c>
      <c r="B84" s="2" t="n">
        <v>127</v>
      </c>
      <c r="C84" s="3" t="inlineStr">
        <is>
          <t>Smartphone Empresarial 128GB (Modelo 8)</t>
        </is>
      </c>
      <c r="D84" s="3" t="inlineStr">
        <is>
          <t>Smartphones</t>
        </is>
      </c>
      <c r="E84" s="4" t="inlineStr">
        <is>
          <t>2025-10-01</t>
        </is>
      </c>
      <c r="F84" s="5" t="n">
        <v>2174</v>
      </c>
      <c r="G84" s="5" t="n">
        <v>2123</v>
      </c>
      <c r="H84" s="5">
        <f>G84-F84</f>
        <v/>
      </c>
      <c r="I84" s="6">
        <f>H84/F84</f>
        <v/>
      </c>
      <c r="J84" s="3" t="inlineStr">
        <is>
          <t>Roberto Fernandes</t>
        </is>
      </c>
      <c r="K84" s="7" t="inlineStr">
        <is>
          <t>B03</t>
        </is>
      </c>
      <c r="L84" s="7">
        <f>IF(H84=0, "Correto", "Divergente")</f>
        <v/>
      </c>
    </row>
    <row r="85">
      <c r="A85" s="8" t="n">
        <v>84</v>
      </c>
      <c r="B85" s="8" t="n">
        <v>111</v>
      </c>
      <c r="C85" s="9" t="inlineStr">
        <is>
          <t>Chromebook 11.6" (Modelo 7)</t>
        </is>
      </c>
      <c r="D85" s="9" t="inlineStr">
        <is>
          <t>Informática</t>
        </is>
      </c>
      <c r="E85" s="10" t="inlineStr">
        <is>
          <t>2026-11-02</t>
        </is>
      </c>
      <c r="F85" s="11" t="n">
        <v>4601</v>
      </c>
      <c r="G85" s="11" t="n">
        <v>4601</v>
      </c>
      <c r="H85" s="11">
        <f>G85-F85</f>
        <v/>
      </c>
      <c r="I85" s="12">
        <f>H85/F85</f>
        <v/>
      </c>
      <c r="J85" s="9" t="inlineStr">
        <is>
          <t>Patricia Prado</t>
        </is>
      </c>
      <c r="K85" s="13" t="inlineStr">
        <is>
          <t>C01</t>
        </is>
      </c>
      <c r="L85" s="13">
        <f>IF(H85=0, "Correto", "Divergente")</f>
        <v/>
      </c>
    </row>
    <row r="86">
      <c r="A86" s="2" t="n">
        <v>85</v>
      </c>
      <c r="B86" s="2" t="n">
        <v>81</v>
      </c>
      <c r="C86" s="3" t="inlineStr">
        <is>
          <t>Notebook Corporate i5 16GB (Modelo 7)</t>
        </is>
      </c>
      <c r="D86" s="3" t="inlineStr">
        <is>
          <t>Informática</t>
        </is>
      </c>
      <c r="E86" s="4" t="inlineStr">
        <is>
          <t>2024-12-27</t>
        </is>
      </c>
      <c r="F86" s="5" t="n">
        <v>1610</v>
      </c>
      <c r="G86" s="5" t="n">
        <v>1586</v>
      </c>
      <c r="H86" s="5">
        <f>G86-F86</f>
        <v/>
      </c>
      <c r="I86" s="6">
        <f>H86/F86</f>
        <v/>
      </c>
      <c r="J86" s="3" t="inlineStr">
        <is>
          <t>Beatriz Castilho</t>
        </is>
      </c>
      <c r="K86" s="7" t="inlineStr">
        <is>
          <t>B03</t>
        </is>
      </c>
      <c r="L86" s="7">
        <f>IF(H86=0, "Correto", "Divergente")</f>
        <v/>
      </c>
    </row>
    <row r="87">
      <c r="A87" s="8" t="n">
        <v>86</v>
      </c>
      <c r="B87" s="8" t="n">
        <v>105</v>
      </c>
      <c r="C87" s="9" t="inlineStr">
        <is>
          <t>Caixa de Som USB 10W (Modelo 1)</t>
        </is>
      </c>
      <c r="D87" s="9" t="inlineStr">
        <is>
          <t>Áudio</t>
        </is>
      </c>
      <c r="E87" s="10" t="inlineStr">
        <is>
          <t>2026-02-20</t>
        </is>
      </c>
      <c r="F87" s="11" t="n">
        <v>1744</v>
      </c>
      <c r="G87" s="11" t="n">
        <v>1744</v>
      </c>
      <c r="H87" s="11">
        <f>G87-F87</f>
        <v/>
      </c>
      <c r="I87" s="12">
        <f>H87/F87</f>
        <v/>
      </c>
      <c r="J87" s="9" t="inlineStr">
        <is>
          <t>Camila Azevedo</t>
        </is>
      </c>
      <c r="K87" s="13" t="inlineStr">
        <is>
          <t>A03</t>
        </is>
      </c>
      <c r="L87" s="13">
        <f>IF(H87=0, "Correto", "Divergente")</f>
        <v/>
      </c>
    </row>
    <row r="88">
      <c r="A88" s="2" t="n">
        <v>87</v>
      </c>
      <c r="B88" s="2" t="n">
        <v>111</v>
      </c>
      <c r="C88" s="3" t="inlineStr">
        <is>
          <t>Chromebook 11.6" (Modelo 7)</t>
        </is>
      </c>
      <c r="D88" s="3" t="inlineStr">
        <is>
          <t>Informática</t>
        </is>
      </c>
      <c r="E88" s="4" t="inlineStr">
        <is>
          <t>2025-07-02</t>
        </is>
      </c>
      <c r="F88" s="5" t="n">
        <v>2695</v>
      </c>
      <c r="G88" s="5" t="n">
        <v>2724</v>
      </c>
      <c r="H88" s="5">
        <f>G88-F88</f>
        <v/>
      </c>
      <c r="I88" s="6">
        <f>H88/F88</f>
        <v/>
      </c>
      <c r="J88" s="3" t="inlineStr">
        <is>
          <t>Ricardo Mendes</t>
        </is>
      </c>
      <c r="K88" s="7" t="inlineStr">
        <is>
          <t>C02</t>
        </is>
      </c>
      <c r="L88" s="7">
        <f>IF(H88=0, "Correto", "Divergente")</f>
        <v/>
      </c>
    </row>
    <row r="89">
      <c r="A89" s="8" t="n">
        <v>88</v>
      </c>
      <c r="B89" s="8" t="n">
        <v>68</v>
      </c>
      <c r="C89" s="9" t="inlineStr">
        <is>
          <t>Switch Gigabit 16 Portas (Modelo 9)</t>
        </is>
      </c>
      <c r="D89" s="9" t="inlineStr">
        <is>
          <t>Redes</t>
        </is>
      </c>
      <c r="E89" s="10" t="inlineStr">
        <is>
          <t>2024-10-24</t>
        </is>
      </c>
      <c r="F89" s="11" t="n">
        <v>4466</v>
      </c>
      <c r="G89" s="11" t="n">
        <v>4466</v>
      </c>
      <c r="H89" s="11">
        <f>G89-F89</f>
        <v/>
      </c>
      <c r="I89" s="12">
        <f>H89/F89</f>
        <v/>
      </c>
      <c r="J89" s="9" t="inlineStr">
        <is>
          <t>Fernanda Vasconcelos</t>
        </is>
      </c>
      <c r="K89" s="13" t="inlineStr">
        <is>
          <t>B03</t>
        </is>
      </c>
      <c r="L89" s="13">
        <f>IF(H89=0, "Correto", "Divergente")</f>
        <v/>
      </c>
    </row>
    <row r="90">
      <c r="A90" s="2" t="n">
        <v>89</v>
      </c>
      <c r="B90" s="2" t="n">
        <v>37</v>
      </c>
      <c r="C90" s="3" t="inlineStr">
        <is>
          <t>Smartphone Empresarial 128GB (Modelo 8)</t>
        </is>
      </c>
      <c r="D90" s="3" t="inlineStr">
        <is>
          <t>Smartphones</t>
        </is>
      </c>
      <c r="E90" s="4" t="inlineStr">
        <is>
          <t>2024-09-09</t>
        </is>
      </c>
      <c r="F90" s="5" t="n">
        <v>2195</v>
      </c>
      <c r="G90" s="5" t="n">
        <v>2195</v>
      </c>
      <c r="H90" s="5">
        <f>G90-F90</f>
        <v/>
      </c>
      <c r="I90" s="6">
        <f>H90/F90</f>
        <v/>
      </c>
      <c r="J90" s="3" t="inlineStr">
        <is>
          <t>Patricia Prado</t>
        </is>
      </c>
      <c r="K90" s="7" t="inlineStr">
        <is>
          <t>C01</t>
        </is>
      </c>
      <c r="L90" s="7">
        <f>IF(H90=0, "Correto", "Divergente")</f>
        <v/>
      </c>
    </row>
    <row r="91">
      <c r="A91" s="8" t="n">
        <v>90</v>
      </c>
      <c r="B91" s="8" t="n">
        <v>103</v>
      </c>
      <c r="C91" s="9" t="inlineStr">
        <is>
          <t>Monitor LED 21.5" Full HD (Modelo 14)</t>
        </is>
      </c>
      <c r="D91" s="9" t="inlineStr">
        <is>
          <t>Monitores</t>
        </is>
      </c>
      <c r="E91" s="10" t="inlineStr">
        <is>
          <t>2024-02-14</t>
        </is>
      </c>
      <c r="F91" s="11" t="n">
        <v>4504</v>
      </c>
      <c r="G91" s="11" t="n">
        <v>4504</v>
      </c>
      <c r="H91" s="11">
        <f>G91-F91</f>
        <v/>
      </c>
      <c r="I91" s="12">
        <f>H91/F91</f>
        <v/>
      </c>
      <c r="J91" s="9" t="inlineStr">
        <is>
          <t>Gustavo Silveira</t>
        </is>
      </c>
      <c r="K91" s="13" t="inlineStr">
        <is>
          <t>B03</t>
        </is>
      </c>
      <c r="L91" s="13">
        <f>IF(H91=0, "Correto", "Divergente")</f>
        <v/>
      </c>
    </row>
    <row r="92">
      <c r="A92" s="2" t="n">
        <v>91</v>
      </c>
      <c r="B92" s="2" t="n">
        <v>25</v>
      </c>
      <c r="C92" s="3" t="inlineStr">
        <is>
          <t>Headset USB com Cancelamento de Ruído (Modelo 11)</t>
        </is>
      </c>
      <c r="D92" s="3" t="inlineStr">
        <is>
          <t>Áudio</t>
        </is>
      </c>
      <c r="E92" s="4" t="inlineStr">
        <is>
          <t>2026-10-10</t>
        </is>
      </c>
      <c r="F92" s="5" t="n">
        <v>4477</v>
      </c>
      <c r="G92" s="5" t="n">
        <v>4477</v>
      </c>
      <c r="H92" s="5">
        <f>G92-F92</f>
        <v/>
      </c>
      <c r="I92" s="6">
        <f>H92/F92</f>
        <v/>
      </c>
      <c r="J92" s="3" t="inlineStr">
        <is>
          <t>Gustavo Silveira</t>
        </is>
      </c>
      <c r="K92" s="7" t="inlineStr">
        <is>
          <t>B03</t>
        </is>
      </c>
      <c r="L92" s="7">
        <f>IF(H92=0, "Correto", "Divergente")</f>
        <v/>
      </c>
    </row>
    <row r="93">
      <c r="A93" s="8" t="n">
        <v>92</v>
      </c>
      <c r="B93" s="8" t="n">
        <v>166</v>
      </c>
      <c r="C93" s="9" t="inlineStr">
        <is>
          <t>HD Externo Portátil 2TB (Modelo 2)</t>
        </is>
      </c>
      <c r="D93" s="9" t="inlineStr">
        <is>
          <t>Armazenamento</t>
        </is>
      </c>
      <c r="E93" s="10" t="inlineStr">
        <is>
          <t>2025-11-07</t>
        </is>
      </c>
      <c r="F93" s="11" t="n">
        <v>492</v>
      </c>
      <c r="G93" s="11" t="n">
        <v>463</v>
      </c>
      <c r="H93" s="11">
        <f>G93-F93</f>
        <v/>
      </c>
      <c r="I93" s="12">
        <f>H93/F93</f>
        <v/>
      </c>
      <c r="J93" s="9" t="inlineStr">
        <is>
          <t>Carlos Eduardo Rocha</t>
        </is>
      </c>
      <c r="K93" s="13" t="inlineStr">
        <is>
          <t>B02</t>
        </is>
      </c>
      <c r="L93" s="13">
        <f>IF(H93=0, "Correto", "Divergente")</f>
        <v/>
      </c>
    </row>
    <row r="94">
      <c r="A94" s="2" t="n">
        <v>93</v>
      </c>
      <c r="B94" s="2" t="n">
        <v>144</v>
      </c>
      <c r="C94" s="3" t="inlineStr">
        <is>
          <t>Cartucho Colorido Premium (Modelo 10)</t>
        </is>
      </c>
      <c r="D94" s="3" t="inlineStr">
        <is>
          <t>Impressão</t>
        </is>
      </c>
      <c r="E94" s="4" t="inlineStr">
        <is>
          <t>2025-05-31</t>
        </is>
      </c>
      <c r="F94" s="5" t="n">
        <v>1070</v>
      </c>
      <c r="G94" s="5" t="n">
        <v>1070</v>
      </c>
      <c r="H94" s="5">
        <f>G94-F94</f>
        <v/>
      </c>
      <c r="I94" s="6">
        <f>H94/F94</f>
        <v/>
      </c>
      <c r="J94" s="3" t="inlineStr">
        <is>
          <t>Camila Azevedo</t>
        </is>
      </c>
      <c r="K94" s="7" t="inlineStr">
        <is>
          <t>C01</t>
        </is>
      </c>
      <c r="L94" s="7">
        <f>IF(H94=0, "Correto", "Divergente")</f>
        <v/>
      </c>
    </row>
    <row r="95">
      <c r="A95" s="8" t="n">
        <v>94</v>
      </c>
      <c r="B95" s="8" t="n">
        <v>200</v>
      </c>
      <c r="C95" s="9" t="inlineStr">
        <is>
          <t>Memória RAM DDR4 16GB 3200MHz (Modelo 6)</t>
        </is>
      </c>
      <c r="D95" s="9" t="inlineStr">
        <is>
          <t>Componentes</t>
        </is>
      </c>
      <c r="E95" s="10" t="inlineStr">
        <is>
          <t>2026-09-01</t>
        </is>
      </c>
      <c r="F95" s="11" t="n">
        <v>3957</v>
      </c>
      <c r="G95" s="11" t="n">
        <v>3957</v>
      </c>
      <c r="H95" s="11">
        <f>G95-F95</f>
        <v/>
      </c>
      <c r="I95" s="12">
        <f>H95/F95</f>
        <v/>
      </c>
      <c r="J95" s="9" t="inlineStr">
        <is>
          <t>Carlos Eduardo Rocha</t>
        </is>
      </c>
      <c r="K95" s="13" t="inlineStr">
        <is>
          <t>B01</t>
        </is>
      </c>
      <c r="L95" s="13">
        <f>IF(H95=0, "Correto", "Divergente")</f>
        <v/>
      </c>
    </row>
    <row r="96">
      <c r="A96" s="2" t="n">
        <v>95</v>
      </c>
      <c r="B96" s="2" t="n">
        <v>163</v>
      </c>
      <c r="C96" s="3" t="inlineStr">
        <is>
          <t>Monitor LED 21.5" Full HD (Modelo 14)</t>
        </is>
      </c>
      <c r="D96" s="3" t="inlineStr">
        <is>
          <t>Monitores</t>
        </is>
      </c>
      <c r="E96" s="4" t="inlineStr">
        <is>
          <t>2024-09-04</t>
        </is>
      </c>
      <c r="F96" s="5" t="n">
        <v>2201</v>
      </c>
      <c r="G96" s="5" t="n">
        <v>2201</v>
      </c>
      <c r="H96" s="5">
        <f>G96-F96</f>
        <v/>
      </c>
      <c r="I96" s="6">
        <f>H96/F96</f>
        <v/>
      </c>
      <c r="J96" s="3" t="inlineStr">
        <is>
          <t>Fernanda Vasconcelos</t>
        </is>
      </c>
      <c r="K96" s="7" t="inlineStr">
        <is>
          <t>C02</t>
        </is>
      </c>
      <c r="L96" s="7">
        <f>IF(H96=0, "Correto", "Divergente")</f>
        <v/>
      </c>
    </row>
    <row r="97">
      <c r="A97" s="8" t="n">
        <v>96</v>
      </c>
      <c r="B97" s="8" t="n">
        <v>132</v>
      </c>
      <c r="C97" s="9" t="inlineStr">
        <is>
          <t>Webcam Full HD 1080p (Modelo 13)</t>
        </is>
      </c>
      <c r="D97" s="9" t="inlineStr">
        <is>
          <t>Periféricos</t>
        </is>
      </c>
      <c r="E97" s="10" t="inlineStr">
        <is>
          <t>2025-07-21</t>
        </is>
      </c>
      <c r="F97" s="11" t="n">
        <v>3027</v>
      </c>
      <c r="G97" s="11" t="n">
        <v>3027</v>
      </c>
      <c r="H97" s="11">
        <f>G97-F97</f>
        <v/>
      </c>
      <c r="I97" s="12">
        <f>H97/F97</f>
        <v/>
      </c>
      <c r="J97" s="9" t="inlineStr">
        <is>
          <t>Fernanda Vasconcelos</t>
        </is>
      </c>
      <c r="K97" s="13" t="inlineStr">
        <is>
          <t>C03</t>
        </is>
      </c>
      <c r="L97" s="13">
        <f>IF(H97=0, "Correto", "Divergente")</f>
        <v/>
      </c>
    </row>
    <row r="98">
      <c r="A98" s="2" t="n">
        <v>97</v>
      </c>
      <c r="B98" s="2" t="n">
        <v>197</v>
      </c>
      <c r="C98" s="3" t="inlineStr">
        <is>
          <t>Capa Protetora para Tablet (Modelo 3)</t>
        </is>
      </c>
      <c r="D98" s="3" t="inlineStr">
        <is>
          <t>Smartphones</t>
        </is>
      </c>
      <c r="E98" s="4" t="inlineStr">
        <is>
          <t>2024-01-24</t>
        </is>
      </c>
      <c r="F98" s="5" t="n">
        <v>784</v>
      </c>
      <c r="G98" s="5" t="n">
        <v>784</v>
      </c>
      <c r="H98" s="5">
        <f>G98-F98</f>
        <v/>
      </c>
      <c r="I98" s="6">
        <f>H98/F98</f>
        <v/>
      </c>
      <c r="J98" s="3" t="inlineStr">
        <is>
          <t>Fernanda Vasconcelos</t>
        </is>
      </c>
      <c r="K98" s="7" t="inlineStr">
        <is>
          <t>C02</t>
        </is>
      </c>
      <c r="L98" s="7">
        <f>IF(H98=0, "Correto", "Divergente")</f>
        <v/>
      </c>
    </row>
    <row r="99">
      <c r="A99" s="8" t="n">
        <v>98</v>
      </c>
      <c r="B99" s="8" t="n">
        <v>53</v>
      </c>
      <c r="C99" s="9" t="inlineStr">
        <is>
          <t>Monitor 4K 32" Profissional (Modelo 9)</t>
        </is>
      </c>
      <c r="D99" s="9" t="inlineStr">
        <is>
          <t>Monitores</t>
        </is>
      </c>
      <c r="E99" s="10" t="inlineStr">
        <is>
          <t>2024-12-15</t>
        </is>
      </c>
      <c r="F99" s="11" t="n">
        <v>2535</v>
      </c>
      <c r="G99" s="11" t="n">
        <v>2535</v>
      </c>
      <c r="H99" s="11">
        <f>G99-F99</f>
        <v/>
      </c>
      <c r="I99" s="12">
        <f>H99/F99</f>
        <v/>
      </c>
      <c r="J99" s="9" t="inlineStr">
        <is>
          <t>Gustavo Silveira</t>
        </is>
      </c>
      <c r="K99" s="13" t="inlineStr">
        <is>
          <t>C03</t>
        </is>
      </c>
      <c r="L99" s="13">
        <f>IF(H99=0, "Correto", "Divergente")</f>
        <v/>
      </c>
    </row>
    <row r="100">
      <c r="A100" s="2" t="n">
        <v>99</v>
      </c>
      <c r="B100" s="2" t="n">
        <v>175</v>
      </c>
      <c r="C100" s="3" t="inlineStr">
        <is>
          <t>Headset USB com Cancelamento de Ruído (Modelo 11)</t>
        </is>
      </c>
      <c r="D100" s="3" t="inlineStr">
        <is>
          <t>Áudio</t>
        </is>
      </c>
      <c r="E100" s="4" t="inlineStr">
        <is>
          <t>2024-09-29</t>
        </is>
      </c>
      <c r="F100" s="5" t="n">
        <v>886</v>
      </c>
      <c r="G100" s="5" t="n">
        <v>886</v>
      </c>
      <c r="H100" s="5">
        <f>G100-F100</f>
        <v/>
      </c>
      <c r="I100" s="6">
        <f>H100/F100</f>
        <v/>
      </c>
      <c r="J100" s="3" t="inlineStr">
        <is>
          <t>Gustavo Silveira</t>
        </is>
      </c>
      <c r="K100" s="7" t="inlineStr">
        <is>
          <t>A01</t>
        </is>
      </c>
      <c r="L100" s="7">
        <f>IF(H100=0, "Correto", "Divergente")</f>
        <v/>
      </c>
    </row>
    <row r="101">
      <c r="A101" s="8" t="n">
        <v>100</v>
      </c>
      <c r="B101" s="8" t="n">
        <v>48</v>
      </c>
      <c r="C101" s="9" t="inlineStr">
        <is>
          <t>Repetidor Wi-Fi 1200Mbps (Modelo 4)</t>
        </is>
      </c>
      <c r="D101" s="9" t="inlineStr">
        <is>
          <t>Redes</t>
        </is>
      </c>
      <c r="E101" s="10" t="inlineStr">
        <is>
          <t>2026-11-17</t>
        </is>
      </c>
      <c r="F101" s="11" t="n">
        <v>1896</v>
      </c>
      <c r="G101" s="11" t="n">
        <v>2094</v>
      </c>
      <c r="H101" s="11">
        <f>G101-F101</f>
        <v/>
      </c>
      <c r="I101" s="12">
        <f>H101/F101</f>
        <v/>
      </c>
      <c r="J101" s="9" t="inlineStr">
        <is>
          <t>Beatriz Castilho</t>
        </is>
      </c>
      <c r="K101" s="13" t="inlineStr">
        <is>
          <t>B03</t>
        </is>
      </c>
      <c r="L101" s="13">
        <f>IF(H101=0, "Correto", "Divergente")</f>
        <v/>
      </c>
    </row>
    <row r="102">
      <c r="A102" s="2" t="n">
        <v>101</v>
      </c>
      <c r="B102" s="2" t="n">
        <v>89</v>
      </c>
      <c r="C102" s="3" t="inlineStr">
        <is>
          <t>Hub USB-C 7 em 1 (Modelo 15)</t>
        </is>
      </c>
      <c r="D102" s="3" t="inlineStr">
        <is>
          <t>Acessórios</t>
        </is>
      </c>
      <c r="E102" s="4" t="inlineStr">
        <is>
          <t>2025-10-12</t>
        </is>
      </c>
      <c r="F102" s="5" t="n">
        <v>4970</v>
      </c>
      <c r="G102" s="5" t="n">
        <v>4970</v>
      </c>
      <c r="H102" s="5">
        <f>G102-F102</f>
        <v/>
      </c>
      <c r="I102" s="6">
        <f>H102/F102</f>
        <v/>
      </c>
      <c r="J102" s="3" t="inlineStr">
        <is>
          <t>Patricia Prado</t>
        </is>
      </c>
      <c r="K102" s="7" t="inlineStr">
        <is>
          <t>B03</t>
        </is>
      </c>
      <c r="L102" s="7">
        <f>IF(H102=0, "Correto", "Divergente")</f>
        <v/>
      </c>
    </row>
    <row r="103">
      <c r="A103" s="8" t="n">
        <v>102</v>
      </c>
      <c r="B103" s="8" t="n">
        <v>65</v>
      </c>
      <c r="C103" s="9" t="inlineStr">
        <is>
          <t>Caixa de Som Bluetooth Portátil (Modelo 6)</t>
        </is>
      </c>
      <c r="D103" s="9" t="inlineStr">
        <is>
          <t>Áudio</t>
        </is>
      </c>
      <c r="E103" s="10" t="inlineStr">
        <is>
          <t>2024-03-16</t>
        </is>
      </c>
      <c r="F103" s="11" t="n">
        <v>4015</v>
      </c>
      <c r="G103" s="11" t="n">
        <v>4015</v>
      </c>
      <c r="H103" s="11">
        <f>G103-F103</f>
        <v/>
      </c>
      <c r="I103" s="12">
        <f>H103/F103</f>
        <v/>
      </c>
      <c r="J103" s="9" t="inlineStr">
        <is>
          <t>Patricia Prado</t>
        </is>
      </c>
      <c r="K103" s="13" t="inlineStr">
        <is>
          <t>B03</t>
        </is>
      </c>
      <c r="L103" s="13">
        <f>IF(H103=0, "Correto", "Divergente")</f>
        <v/>
      </c>
    </row>
    <row r="104">
      <c r="A104" s="2" t="n">
        <v>103</v>
      </c>
      <c r="B104" s="2" t="n">
        <v>65</v>
      </c>
      <c r="C104" s="3" t="inlineStr">
        <is>
          <t>Caixa de Som Bluetooth Portátil (Modelo 6)</t>
        </is>
      </c>
      <c r="D104" s="3" t="inlineStr">
        <is>
          <t>Áudio</t>
        </is>
      </c>
      <c r="E104" s="4" t="inlineStr">
        <is>
          <t>2026-08-12</t>
        </is>
      </c>
      <c r="F104" s="5" t="n">
        <v>1629</v>
      </c>
      <c r="G104" s="5" t="n">
        <v>1629</v>
      </c>
      <c r="H104" s="5">
        <f>G104-F104</f>
        <v/>
      </c>
      <c r="I104" s="6">
        <f>H104/F104</f>
        <v/>
      </c>
      <c r="J104" s="3" t="inlineStr">
        <is>
          <t>Marcelo Fontes</t>
        </is>
      </c>
      <c r="K104" s="7" t="inlineStr">
        <is>
          <t>C01</t>
        </is>
      </c>
      <c r="L104" s="7">
        <f>IF(H104=0, "Correto", "Divergente")</f>
        <v/>
      </c>
    </row>
    <row r="105">
      <c r="A105" s="8" t="n">
        <v>104</v>
      </c>
      <c r="B105" s="8" t="n">
        <v>78</v>
      </c>
      <c r="C105" s="9" t="inlineStr">
        <is>
          <t>Repetidor Wi-Fi 1200Mbps (Modelo 4)</t>
        </is>
      </c>
      <c r="D105" s="9" t="inlineStr">
        <is>
          <t>Redes</t>
        </is>
      </c>
      <c r="E105" s="10" t="inlineStr">
        <is>
          <t>2025-03-23</t>
        </is>
      </c>
      <c r="F105" s="11" t="n">
        <v>4766</v>
      </c>
      <c r="G105" s="11" t="n">
        <v>4766</v>
      </c>
      <c r="H105" s="11">
        <f>G105-F105</f>
        <v/>
      </c>
      <c r="I105" s="12">
        <f>H105/F105</f>
        <v/>
      </c>
      <c r="J105" s="9" t="inlineStr">
        <is>
          <t>Gustavo Silveira</t>
        </is>
      </c>
      <c r="K105" s="13" t="inlineStr">
        <is>
          <t>A02</t>
        </is>
      </c>
      <c r="L105" s="13">
        <f>IF(H105=0, "Correto", "Divergente")</f>
        <v/>
      </c>
    </row>
    <row r="106">
      <c r="A106" s="2" t="n">
        <v>105</v>
      </c>
      <c r="B106" s="2" t="n">
        <v>186</v>
      </c>
      <c r="C106" s="3" t="inlineStr">
        <is>
          <t>Cartão de Memória MicroSD 128GB (Modelo 7)</t>
        </is>
      </c>
      <c r="D106" s="3" t="inlineStr">
        <is>
          <t>Armazenamento</t>
        </is>
      </c>
      <c r="E106" s="4" t="inlineStr">
        <is>
          <t>2026-11-08</t>
        </is>
      </c>
      <c r="F106" s="5" t="n">
        <v>4361</v>
      </c>
      <c r="G106" s="5" t="n">
        <v>4295</v>
      </c>
      <c r="H106" s="5">
        <f>G106-F106</f>
        <v/>
      </c>
      <c r="I106" s="6">
        <f>H106/F106</f>
        <v/>
      </c>
      <c r="J106" s="3" t="inlineStr">
        <is>
          <t>Patricia Prado</t>
        </is>
      </c>
      <c r="K106" s="7" t="inlineStr">
        <is>
          <t>Depósito Externo</t>
        </is>
      </c>
      <c r="L106" s="7">
        <f>IF(H106=0, "Correto", "Divergente")</f>
        <v/>
      </c>
    </row>
    <row r="107">
      <c r="A107" s="8" t="n">
        <v>106</v>
      </c>
      <c r="B107" s="8" t="n">
        <v>24</v>
      </c>
      <c r="C107" s="9" t="inlineStr">
        <is>
          <t>Cartucho Colorido Premium (Modelo 10)</t>
        </is>
      </c>
      <c r="D107" s="9" t="inlineStr">
        <is>
          <t>Impressão</t>
        </is>
      </c>
      <c r="E107" s="10" t="inlineStr">
        <is>
          <t>2026-11-09</t>
        </is>
      </c>
      <c r="F107" s="11" t="n">
        <v>4280</v>
      </c>
      <c r="G107" s="11" t="n">
        <v>4280</v>
      </c>
      <c r="H107" s="11">
        <f>G107-F107</f>
        <v/>
      </c>
      <c r="I107" s="12">
        <f>H107/F107</f>
        <v/>
      </c>
      <c r="J107" s="9" t="inlineStr">
        <is>
          <t>Patricia Prado</t>
        </is>
      </c>
      <c r="K107" s="13" t="inlineStr">
        <is>
          <t>B03</t>
        </is>
      </c>
      <c r="L107" s="13">
        <f>IF(H107=0, "Correto", "Divergente")</f>
        <v/>
      </c>
    </row>
    <row r="108">
      <c r="A108" s="2" t="n">
        <v>107</v>
      </c>
      <c r="B108" s="2" t="n">
        <v>170</v>
      </c>
      <c r="C108" s="3" t="inlineStr">
        <is>
          <t>Memória RAM DDR4 16GB 3200MHz (Modelo 6)</t>
        </is>
      </c>
      <c r="D108" s="3" t="inlineStr">
        <is>
          <t>Componentes</t>
        </is>
      </c>
      <c r="E108" s="4" t="inlineStr">
        <is>
          <t>2025-11-26</t>
        </is>
      </c>
      <c r="F108" s="5" t="n">
        <v>2950</v>
      </c>
      <c r="G108" s="5" t="n">
        <v>2950</v>
      </c>
      <c r="H108" s="5">
        <f>G108-F108</f>
        <v/>
      </c>
      <c r="I108" s="6">
        <f>H108/F108</f>
        <v/>
      </c>
      <c r="J108" s="3" t="inlineStr">
        <is>
          <t>Marcelo Fontes</t>
        </is>
      </c>
      <c r="K108" s="7" t="inlineStr">
        <is>
          <t>A03</t>
        </is>
      </c>
      <c r="L108" s="7">
        <f>IF(H108=0, "Correto", "Divergente")</f>
        <v/>
      </c>
    </row>
    <row r="109">
      <c r="A109" s="8" t="n">
        <v>108</v>
      </c>
      <c r="B109" s="8" t="n">
        <v>195</v>
      </c>
      <c r="C109" s="9" t="inlineStr">
        <is>
          <t>Caixa de Som USB 10W (Modelo 1)</t>
        </is>
      </c>
      <c r="D109" s="9" t="inlineStr">
        <is>
          <t>Áudio</t>
        </is>
      </c>
      <c r="E109" s="10" t="inlineStr">
        <is>
          <t>2025-06-11</t>
        </is>
      </c>
      <c r="F109" s="11" t="n">
        <v>4326</v>
      </c>
      <c r="G109" s="11" t="n">
        <v>4326</v>
      </c>
      <c r="H109" s="11">
        <f>G109-F109</f>
        <v/>
      </c>
      <c r="I109" s="12">
        <f>H109/F109</f>
        <v/>
      </c>
      <c r="J109" s="9" t="inlineStr">
        <is>
          <t>Gustavo Silveira</t>
        </is>
      </c>
      <c r="K109" s="13" t="inlineStr">
        <is>
          <t>A02</t>
        </is>
      </c>
      <c r="L109" s="13">
        <f>IF(H109=0, "Correto", "Divergente")</f>
        <v/>
      </c>
    </row>
    <row r="110">
      <c r="A110" s="2" t="n">
        <v>109</v>
      </c>
      <c r="B110" s="2" t="n">
        <v>156</v>
      </c>
      <c r="C110" s="3" t="inlineStr">
        <is>
          <t>Cartão de Memória MicroSD 128GB (Modelo 7)</t>
        </is>
      </c>
      <c r="D110" s="3" t="inlineStr">
        <is>
          <t>Armazenamento</t>
        </is>
      </c>
      <c r="E110" s="4" t="inlineStr">
        <is>
          <t>2025-03-15</t>
        </is>
      </c>
      <c r="F110" s="5" t="n">
        <v>237</v>
      </c>
      <c r="G110" s="5" t="n">
        <v>237</v>
      </c>
      <c r="H110" s="5">
        <f>G110-F110</f>
        <v/>
      </c>
      <c r="I110" s="6">
        <f>H110/F110</f>
        <v/>
      </c>
      <c r="J110" s="3" t="inlineStr">
        <is>
          <t>Fernanda Vasconcelos</t>
        </is>
      </c>
      <c r="K110" s="7" t="inlineStr">
        <is>
          <t>C01</t>
        </is>
      </c>
      <c r="L110" s="7">
        <f>IF(H110=0, "Correto", "Divergente")</f>
        <v/>
      </c>
    </row>
    <row r="111">
      <c r="A111" s="8" t="n">
        <v>110</v>
      </c>
      <c r="B111" s="8" t="n">
        <v>131</v>
      </c>
      <c r="C111" s="9" t="inlineStr">
        <is>
          <t>Desktop Core i5 8GB (Modelo 12)</t>
        </is>
      </c>
      <c r="D111" s="9" t="inlineStr">
        <is>
          <t>Informática</t>
        </is>
      </c>
      <c r="E111" s="10" t="inlineStr">
        <is>
          <t>2026-12-14</t>
        </is>
      </c>
      <c r="F111" s="11" t="n">
        <v>1037</v>
      </c>
      <c r="G111" s="11" t="n">
        <v>1037</v>
      </c>
      <c r="H111" s="11">
        <f>G111-F111</f>
        <v/>
      </c>
      <c r="I111" s="12">
        <f>H111/F111</f>
        <v/>
      </c>
      <c r="J111" s="9" t="inlineStr">
        <is>
          <t>Ricardo Mendes</t>
        </is>
      </c>
      <c r="K111" s="13" t="inlineStr">
        <is>
          <t>C02</t>
        </is>
      </c>
      <c r="L111" s="13">
        <f>IF(H111=0, "Correto", "Divergente")</f>
        <v/>
      </c>
    </row>
    <row r="112">
      <c r="A112" s="2" t="n">
        <v>111</v>
      </c>
      <c r="B112" s="2" t="n">
        <v>35</v>
      </c>
      <c r="C112" s="3" t="inlineStr">
        <is>
          <t>Caixa de Som Bluetooth Portátil (Modelo 6)</t>
        </is>
      </c>
      <c r="D112" s="3" t="inlineStr">
        <is>
          <t>Áudio</t>
        </is>
      </c>
      <c r="E112" s="4" t="inlineStr">
        <is>
          <t>2025-10-29</t>
        </is>
      </c>
      <c r="F112" s="5" t="n">
        <v>2980</v>
      </c>
      <c r="G112" s="5" t="n">
        <v>2934</v>
      </c>
      <c r="H112" s="5">
        <f>G112-F112</f>
        <v/>
      </c>
      <c r="I112" s="6">
        <f>H112/F112</f>
        <v/>
      </c>
      <c r="J112" s="3" t="inlineStr">
        <is>
          <t>Marcelo Fontes</t>
        </is>
      </c>
      <c r="K112" s="7" t="inlineStr">
        <is>
          <t>Depósito Externo</t>
        </is>
      </c>
      <c r="L112" s="7">
        <f>IF(H112=0, "Correto", "Divergente")</f>
        <v/>
      </c>
    </row>
    <row r="113">
      <c r="A113" s="8" t="n">
        <v>112</v>
      </c>
      <c r="B113" s="8" t="n">
        <v>186</v>
      </c>
      <c r="C113" s="9" t="inlineStr">
        <is>
          <t>Cartão de Memória MicroSD 128GB (Modelo 7)</t>
        </is>
      </c>
      <c r="D113" s="9" t="inlineStr">
        <is>
          <t>Armazenamento</t>
        </is>
      </c>
      <c r="E113" s="10" t="inlineStr">
        <is>
          <t>2025-01-22</t>
        </is>
      </c>
      <c r="F113" s="11" t="n">
        <v>1246</v>
      </c>
      <c r="G113" s="11" t="n">
        <v>1246</v>
      </c>
      <c r="H113" s="11">
        <f>G113-F113</f>
        <v/>
      </c>
      <c r="I113" s="12">
        <f>H113/F113</f>
        <v/>
      </c>
      <c r="J113" s="9" t="inlineStr">
        <is>
          <t>Roberto Fernandes</t>
        </is>
      </c>
      <c r="K113" s="13" t="inlineStr">
        <is>
          <t>A03</t>
        </is>
      </c>
      <c r="L113" s="13">
        <f>IF(H113=0, "Correto", "Divergente")</f>
        <v/>
      </c>
    </row>
    <row r="114">
      <c r="A114" s="2" t="n">
        <v>113</v>
      </c>
      <c r="B114" s="2" t="n">
        <v>34</v>
      </c>
      <c r="C114" s="3" t="inlineStr">
        <is>
          <t>Toner HP Preto Original (Modelo 5)</t>
        </is>
      </c>
      <c r="D114" s="3" t="inlineStr">
        <is>
          <t>Impressão</t>
        </is>
      </c>
      <c r="E114" s="4" t="inlineStr">
        <is>
          <t>2024-05-05</t>
        </is>
      </c>
      <c r="F114" s="5" t="n">
        <v>283</v>
      </c>
      <c r="G114" s="5" t="n">
        <v>283</v>
      </c>
      <c r="H114" s="5">
        <f>G114-F114</f>
        <v/>
      </c>
      <c r="I114" s="6">
        <f>H114/F114</f>
        <v/>
      </c>
      <c r="J114" s="3" t="inlineStr">
        <is>
          <t>Ricardo Mendes</t>
        </is>
      </c>
      <c r="K114" s="7" t="inlineStr">
        <is>
          <t>A03</t>
        </is>
      </c>
      <c r="L114" s="7">
        <f>IF(H114=0, "Correto", "Divergente")</f>
        <v/>
      </c>
    </row>
    <row r="115">
      <c r="A115" s="8" t="n">
        <v>114</v>
      </c>
      <c r="B115" s="8" t="n">
        <v>36</v>
      </c>
      <c r="C115" s="9" t="inlineStr">
        <is>
          <t>Cartão de Memória MicroSD 128GB (Modelo 7)</t>
        </is>
      </c>
      <c r="D115" s="9" t="inlineStr">
        <is>
          <t>Armazenamento</t>
        </is>
      </c>
      <c r="E115" s="10" t="inlineStr">
        <is>
          <t>2025-07-01</t>
        </is>
      </c>
      <c r="F115" s="11" t="n">
        <v>4427</v>
      </c>
      <c r="G115" s="11" t="n">
        <v>4427</v>
      </c>
      <c r="H115" s="11">
        <f>G115-F115</f>
        <v/>
      </c>
      <c r="I115" s="12">
        <f>H115/F115</f>
        <v/>
      </c>
      <c r="J115" s="9" t="inlineStr">
        <is>
          <t>Roberto Fernandes</t>
        </is>
      </c>
      <c r="K115" s="13" t="inlineStr">
        <is>
          <t>C02</t>
        </is>
      </c>
      <c r="L115" s="13">
        <f>IF(H115=0, "Correto", "Divergente")</f>
        <v/>
      </c>
    </row>
    <row r="116">
      <c r="A116" s="2" t="n">
        <v>115</v>
      </c>
      <c r="B116" s="2" t="n">
        <v>44</v>
      </c>
      <c r="C116" s="3" t="inlineStr">
        <is>
          <t>Multifuncional Tanque de Tinta (Modelo 15)</t>
        </is>
      </c>
      <c r="D116" s="3" t="inlineStr">
        <is>
          <t>Impressão</t>
        </is>
      </c>
      <c r="E116" s="4" t="inlineStr">
        <is>
          <t>2025-01-17</t>
        </is>
      </c>
      <c r="F116" s="5" t="n">
        <v>440</v>
      </c>
      <c r="G116" s="5" t="n">
        <v>461</v>
      </c>
      <c r="H116" s="5">
        <f>G116-F116</f>
        <v/>
      </c>
      <c r="I116" s="6">
        <f>H116/F116</f>
        <v/>
      </c>
      <c r="J116" s="3" t="inlineStr">
        <is>
          <t>Roberto Fernandes</t>
        </is>
      </c>
      <c r="K116" s="7" t="inlineStr">
        <is>
          <t>C01</t>
        </is>
      </c>
      <c r="L116" s="7">
        <f>IF(H116=0, "Correto", "Divergente")</f>
        <v/>
      </c>
    </row>
    <row r="117">
      <c r="A117" s="8" t="n">
        <v>116</v>
      </c>
      <c r="B117" s="8" t="n">
        <v>165</v>
      </c>
      <c r="C117" s="9" t="inlineStr">
        <is>
          <t>Caixa de Som USB 10W (Modelo 1)</t>
        </is>
      </c>
      <c r="D117" s="9" t="inlineStr">
        <is>
          <t>Áudio</t>
        </is>
      </c>
      <c r="E117" s="10" t="inlineStr">
        <is>
          <t>2026-09-29</t>
        </is>
      </c>
      <c r="F117" s="11" t="n">
        <v>4474</v>
      </c>
      <c r="G117" s="11" t="n">
        <v>4418</v>
      </c>
      <c r="H117" s="11">
        <f>G117-F117</f>
        <v/>
      </c>
      <c r="I117" s="12">
        <f>H117/F117</f>
        <v/>
      </c>
      <c r="J117" s="9" t="inlineStr">
        <is>
          <t>Fernanda Vasconcelos</t>
        </is>
      </c>
      <c r="K117" s="13" t="inlineStr">
        <is>
          <t>C03</t>
        </is>
      </c>
      <c r="L117" s="13">
        <f>IF(H117=0, "Correto", "Divergente")</f>
        <v/>
      </c>
    </row>
    <row r="118">
      <c r="A118" s="2" t="n">
        <v>117</v>
      </c>
      <c r="B118" s="2" t="n">
        <v>94</v>
      </c>
      <c r="C118" s="3" t="inlineStr">
        <is>
          <t>Toner HP Preto Original (Modelo 5)</t>
        </is>
      </c>
      <c r="D118" s="3" t="inlineStr">
        <is>
          <t>Impressão</t>
        </is>
      </c>
      <c r="E118" s="4" t="inlineStr">
        <is>
          <t>2024-07-07</t>
        </is>
      </c>
      <c r="F118" s="5" t="n">
        <v>3815</v>
      </c>
      <c r="G118" s="5" t="n">
        <v>3815</v>
      </c>
      <c r="H118" s="5">
        <f>G118-F118</f>
        <v/>
      </c>
      <c r="I118" s="6">
        <f>H118/F118</f>
        <v/>
      </c>
      <c r="J118" s="3" t="inlineStr">
        <is>
          <t>Gustavo Silveira</t>
        </is>
      </c>
      <c r="K118" s="7" t="inlineStr">
        <is>
          <t>A03</t>
        </is>
      </c>
      <c r="L118" s="7">
        <f>IF(H118=0, "Correto", "Divergente")</f>
        <v/>
      </c>
    </row>
    <row r="119">
      <c r="A119" s="8" t="n">
        <v>118</v>
      </c>
      <c r="B119" s="8" t="n">
        <v>84</v>
      </c>
      <c r="C119" s="9" t="inlineStr">
        <is>
          <t>Cartucho Colorido Premium (Modelo 10)</t>
        </is>
      </c>
      <c r="D119" s="9" t="inlineStr">
        <is>
          <t>Impressão</t>
        </is>
      </c>
      <c r="E119" s="10" t="inlineStr">
        <is>
          <t>2024-10-25</t>
        </is>
      </c>
      <c r="F119" s="11" t="n">
        <v>4164</v>
      </c>
      <c r="G119" s="11" t="n">
        <v>4164</v>
      </c>
      <c r="H119" s="11">
        <f>G119-F119</f>
        <v/>
      </c>
      <c r="I119" s="12">
        <f>H119/F119</f>
        <v/>
      </c>
      <c r="J119" s="9" t="inlineStr">
        <is>
          <t>Carlos Eduardo Rocha</t>
        </is>
      </c>
      <c r="K119" s="13" t="inlineStr">
        <is>
          <t>A01</t>
        </is>
      </c>
      <c r="L119" s="13">
        <f>IF(H119=0, "Correto", "Divergente")</f>
        <v/>
      </c>
    </row>
    <row r="120">
      <c r="A120" s="2" t="n">
        <v>119</v>
      </c>
      <c r="B120" s="2" t="n">
        <v>25</v>
      </c>
      <c r="C120" s="3" t="inlineStr">
        <is>
          <t>Headset USB com Cancelamento de Ruído (Modelo 11)</t>
        </is>
      </c>
      <c r="D120" s="3" t="inlineStr">
        <is>
          <t>Áudio</t>
        </is>
      </c>
      <c r="E120" s="4" t="inlineStr">
        <is>
          <t>2025-12-23</t>
        </is>
      </c>
      <c r="F120" s="5" t="n">
        <v>4801</v>
      </c>
      <c r="G120" s="5" t="n">
        <v>4918</v>
      </c>
      <c r="H120" s="5">
        <f>G120-F120</f>
        <v/>
      </c>
      <c r="I120" s="6">
        <f>H120/F120</f>
        <v/>
      </c>
      <c r="J120" s="3" t="inlineStr">
        <is>
          <t>Ricardo Mendes</t>
        </is>
      </c>
      <c r="K120" s="7" t="inlineStr">
        <is>
          <t>B03</t>
        </is>
      </c>
      <c r="L120" s="7">
        <f>IF(H120=0, "Correto", "Divergente")</f>
        <v/>
      </c>
    </row>
    <row r="121">
      <c r="A121" s="8" t="n">
        <v>120</v>
      </c>
      <c r="B121" s="8" t="n">
        <v>194</v>
      </c>
      <c r="C121" s="9" t="inlineStr">
        <is>
          <t>Multifuncional Tanque de Tinta (Modelo 15)</t>
        </is>
      </c>
      <c r="D121" s="9" t="inlineStr">
        <is>
          <t>Impressão</t>
        </is>
      </c>
      <c r="E121" s="10" t="inlineStr">
        <is>
          <t>2024-02-27</t>
        </is>
      </c>
      <c r="F121" s="11" t="n">
        <v>1342</v>
      </c>
      <c r="G121" s="11" t="n">
        <v>1342</v>
      </c>
      <c r="H121" s="11">
        <f>G121-F121</f>
        <v/>
      </c>
      <c r="I121" s="12">
        <f>H121/F121</f>
        <v/>
      </c>
      <c r="J121" s="9" t="inlineStr">
        <is>
          <t>Mariana Alcantara</t>
        </is>
      </c>
      <c r="K121" s="13" t="inlineStr">
        <is>
          <t>C01</t>
        </is>
      </c>
      <c r="L121" s="13">
        <f>IF(H121=0, "Correto", "Divergente")</f>
        <v/>
      </c>
    </row>
    <row r="122">
      <c r="A122" s="2" t="n">
        <v>121</v>
      </c>
      <c r="B122" s="2" t="n">
        <v>170</v>
      </c>
      <c r="C122" s="3" t="inlineStr">
        <is>
          <t>Memória RAM DDR4 16GB 3200MHz (Modelo 6)</t>
        </is>
      </c>
      <c r="D122" s="3" t="inlineStr">
        <is>
          <t>Componentes</t>
        </is>
      </c>
      <c r="E122" s="4" t="inlineStr">
        <is>
          <t>2026-06-06</t>
        </is>
      </c>
      <c r="F122" s="5" t="n">
        <v>1634</v>
      </c>
      <c r="G122" s="5" t="n">
        <v>1596</v>
      </c>
      <c r="H122" s="5">
        <f>G122-F122</f>
        <v/>
      </c>
      <c r="I122" s="6">
        <f>H122/F122</f>
        <v/>
      </c>
      <c r="J122" s="3" t="inlineStr">
        <is>
          <t>Fernanda Vasconcelos</t>
        </is>
      </c>
      <c r="K122" s="7" t="inlineStr">
        <is>
          <t>B01</t>
        </is>
      </c>
      <c r="L122" s="7">
        <f>IF(H122=0, "Correto", "Divergente")</f>
        <v/>
      </c>
    </row>
    <row r="123">
      <c r="A123" s="8" t="n">
        <v>122</v>
      </c>
      <c r="B123" s="8" t="n">
        <v>170</v>
      </c>
      <c r="C123" s="9" t="inlineStr">
        <is>
          <t>Memória RAM DDR4 16GB 3200MHz (Modelo 6)</t>
        </is>
      </c>
      <c r="D123" s="9" t="inlineStr">
        <is>
          <t>Componentes</t>
        </is>
      </c>
      <c r="E123" s="10" t="inlineStr">
        <is>
          <t>2026-10-09</t>
        </is>
      </c>
      <c r="F123" s="11" t="n">
        <v>1743</v>
      </c>
      <c r="G123" s="11" t="n">
        <v>1743</v>
      </c>
      <c r="H123" s="11">
        <f>G123-F123</f>
        <v/>
      </c>
      <c r="I123" s="12">
        <f>H123/F123</f>
        <v/>
      </c>
      <c r="J123" s="9" t="inlineStr">
        <is>
          <t>Marcelo Fontes</t>
        </is>
      </c>
      <c r="K123" s="13" t="inlineStr">
        <is>
          <t>C01</t>
        </is>
      </c>
      <c r="L123" s="13">
        <f>IF(H123=0, "Correto", "Divergente")</f>
        <v/>
      </c>
    </row>
    <row r="124">
      <c r="A124" s="2" t="n">
        <v>123</v>
      </c>
      <c r="B124" s="2" t="n">
        <v>185</v>
      </c>
      <c r="C124" s="3" t="inlineStr">
        <is>
          <t>Caixa de Som Bluetooth Portátil (Modelo 6)</t>
        </is>
      </c>
      <c r="D124" s="3" t="inlineStr">
        <is>
          <t>Áudio</t>
        </is>
      </c>
      <c r="E124" s="4" t="inlineStr">
        <is>
          <t>2026-05-16</t>
        </is>
      </c>
      <c r="F124" s="5" t="n">
        <v>3764</v>
      </c>
      <c r="G124" s="5" t="n">
        <v>3936</v>
      </c>
      <c r="H124" s="5">
        <f>G124-F124</f>
        <v/>
      </c>
      <c r="I124" s="6">
        <f>H124/F124</f>
        <v/>
      </c>
      <c r="J124" s="3" t="inlineStr">
        <is>
          <t>Fernanda Vasconcelos</t>
        </is>
      </c>
      <c r="K124" s="7" t="inlineStr">
        <is>
          <t>B02</t>
        </is>
      </c>
      <c r="L124" s="7">
        <f>IF(H124=0, "Correto", "Divergente")</f>
        <v/>
      </c>
    </row>
    <row r="125">
      <c r="A125" s="8" t="n">
        <v>124</v>
      </c>
      <c r="B125" s="8" t="n">
        <v>162</v>
      </c>
      <c r="C125" s="9" t="inlineStr">
        <is>
          <t>Teclado Mecânico RGB (Modelo 13)</t>
        </is>
      </c>
      <c r="D125" s="9" t="inlineStr">
        <is>
          <t>Periféricos</t>
        </is>
      </c>
      <c r="E125" s="10" t="inlineStr">
        <is>
          <t>2026-06-21</t>
        </is>
      </c>
      <c r="F125" s="11" t="n">
        <v>4580</v>
      </c>
      <c r="G125" s="11" t="n">
        <v>4580</v>
      </c>
      <c r="H125" s="11">
        <f>G125-F125</f>
        <v/>
      </c>
      <c r="I125" s="12">
        <f>H125/F125</f>
        <v/>
      </c>
      <c r="J125" s="9" t="inlineStr">
        <is>
          <t>Mariana Alcantara</t>
        </is>
      </c>
      <c r="K125" s="13" t="inlineStr">
        <is>
          <t>B01</t>
        </is>
      </c>
      <c r="L125" s="13">
        <f>IF(H125=0, "Correto", "Divergente")</f>
        <v/>
      </c>
    </row>
    <row r="126">
      <c r="A126" s="2" t="n">
        <v>125</v>
      </c>
      <c r="B126" s="2" t="n">
        <v>190</v>
      </c>
      <c r="C126" s="3" t="inlineStr">
        <is>
          <t>Fonte Atx 500W 80 Plus (Modelo 11)</t>
        </is>
      </c>
      <c r="D126" s="3" t="inlineStr">
        <is>
          <t>Componentes</t>
        </is>
      </c>
      <c r="E126" s="4" t="inlineStr">
        <is>
          <t>2025-02-04</t>
        </is>
      </c>
      <c r="F126" s="5" t="n">
        <v>950</v>
      </c>
      <c r="G126" s="5" t="n">
        <v>948</v>
      </c>
      <c r="H126" s="5">
        <f>G126-F126</f>
        <v/>
      </c>
      <c r="I126" s="6">
        <f>H126/F126</f>
        <v/>
      </c>
      <c r="J126" s="3" t="inlineStr">
        <is>
          <t>Camila Azevedo</t>
        </is>
      </c>
      <c r="K126" s="7" t="inlineStr">
        <is>
          <t>A03</t>
        </is>
      </c>
      <c r="L126" s="7">
        <f>IF(H126=0, "Correto", "Divergente")</f>
        <v/>
      </c>
    </row>
    <row r="127">
      <c r="A127" s="8" t="n">
        <v>126</v>
      </c>
      <c r="B127" s="8" t="n">
        <v>30</v>
      </c>
      <c r="C127" s="9" t="inlineStr">
        <is>
          <t>Cooler para Processador 120mm (Modelo 1)</t>
        </is>
      </c>
      <c r="D127" s="9" t="inlineStr">
        <is>
          <t>Componentes</t>
        </is>
      </c>
      <c r="E127" s="10" t="inlineStr">
        <is>
          <t>2024-12-18</t>
        </is>
      </c>
      <c r="F127" s="11" t="n">
        <v>1668</v>
      </c>
      <c r="G127" s="11" t="n">
        <v>1668</v>
      </c>
      <c r="H127" s="11">
        <f>G127-F127</f>
        <v/>
      </c>
      <c r="I127" s="12">
        <f>H127/F127</f>
        <v/>
      </c>
      <c r="J127" s="9" t="inlineStr">
        <is>
          <t>Fernanda Vasconcelos</t>
        </is>
      </c>
      <c r="K127" s="13" t="inlineStr">
        <is>
          <t>C01</t>
        </is>
      </c>
      <c r="L127" s="13">
        <f>IF(H127=0, "Correto", "Divergente")</f>
        <v/>
      </c>
    </row>
    <row r="128">
      <c r="A128" s="2" t="n">
        <v>127</v>
      </c>
      <c r="B128" s="2" t="n">
        <v>8</v>
      </c>
      <c r="C128" s="3" t="inlineStr">
        <is>
          <t>Switch Gigabit 16 Portas (Modelo 9)</t>
        </is>
      </c>
      <c r="D128" s="3" t="inlineStr">
        <is>
          <t>Redes</t>
        </is>
      </c>
      <c r="E128" s="4" t="inlineStr">
        <is>
          <t>2024-10-23</t>
        </is>
      </c>
      <c r="F128" s="5" t="n">
        <v>2202</v>
      </c>
      <c r="G128" s="5" t="n">
        <v>2202</v>
      </c>
      <c r="H128" s="5">
        <f>G128-F128</f>
        <v/>
      </c>
      <c r="I128" s="6">
        <f>H128/F128</f>
        <v/>
      </c>
      <c r="J128" s="3" t="inlineStr">
        <is>
          <t>Beatriz Castilho</t>
        </is>
      </c>
      <c r="K128" s="7" t="inlineStr">
        <is>
          <t>C01</t>
        </is>
      </c>
      <c r="L128" s="7">
        <f>IF(H128=0, "Correto", "Divergente")</f>
        <v/>
      </c>
    </row>
    <row r="129">
      <c r="A129" s="8" t="n">
        <v>128</v>
      </c>
      <c r="B129" s="8" t="n">
        <v>3</v>
      </c>
      <c r="C129" s="9" t="inlineStr">
        <is>
          <t>Monitor 27" Curvo 144Hz (Modelo 4)</t>
        </is>
      </c>
      <c r="D129" s="9" t="inlineStr">
        <is>
          <t>Monitores</t>
        </is>
      </c>
      <c r="E129" s="10" t="inlineStr">
        <is>
          <t>2026-09-03</t>
        </is>
      </c>
      <c r="F129" s="11" t="n">
        <v>4269</v>
      </c>
      <c r="G129" s="11" t="n">
        <v>4269</v>
      </c>
      <c r="H129" s="11">
        <f>G129-F129</f>
        <v/>
      </c>
      <c r="I129" s="12">
        <f>H129/F129</f>
        <v/>
      </c>
      <c r="J129" s="9" t="inlineStr">
        <is>
          <t>Ricardo Mendes</t>
        </is>
      </c>
      <c r="K129" s="13" t="inlineStr">
        <is>
          <t>B03</t>
        </is>
      </c>
      <c r="L129" s="13">
        <f>IF(H129=0, "Correto", "Divergente")</f>
        <v/>
      </c>
    </row>
    <row r="130">
      <c r="A130" s="2" t="n">
        <v>129</v>
      </c>
      <c r="B130" s="2" t="n">
        <v>125</v>
      </c>
      <c r="C130" s="3" t="inlineStr">
        <is>
          <t>Caixa de Som Bluetooth Portátil (Modelo 6)</t>
        </is>
      </c>
      <c r="D130" s="3" t="inlineStr">
        <is>
          <t>Áudio</t>
        </is>
      </c>
      <c r="E130" s="4" t="inlineStr">
        <is>
          <t>2024-10-09</t>
        </is>
      </c>
      <c r="F130" s="5" t="n">
        <v>881</v>
      </c>
      <c r="G130" s="5" t="n">
        <v>908</v>
      </c>
      <c r="H130" s="5">
        <f>G130-F130</f>
        <v/>
      </c>
      <c r="I130" s="6">
        <f>H130/F130</f>
        <v/>
      </c>
      <c r="J130" s="3" t="inlineStr">
        <is>
          <t>Fernanda Vasconcelos</t>
        </is>
      </c>
      <c r="K130" s="7" t="inlineStr">
        <is>
          <t>B03</t>
        </is>
      </c>
      <c r="L130" s="7">
        <f>IF(H130=0, "Correto", "Divergente")</f>
        <v/>
      </c>
    </row>
    <row r="131">
      <c r="A131" s="8" t="n">
        <v>130</v>
      </c>
      <c r="B131" s="8" t="n">
        <v>117</v>
      </c>
      <c r="C131" s="9" t="inlineStr">
        <is>
          <t>Tablet 10.1" Wi-Fi 64GB (Modelo 13)</t>
        </is>
      </c>
      <c r="D131" s="9" t="inlineStr">
        <is>
          <t>Smartphones</t>
        </is>
      </c>
      <c r="E131" s="10" t="inlineStr">
        <is>
          <t>2026-02-11</t>
        </is>
      </c>
      <c r="F131" s="11" t="n">
        <v>4986</v>
      </c>
      <c r="G131" s="11" t="n">
        <v>4986</v>
      </c>
      <c r="H131" s="11">
        <f>G131-F131</f>
        <v/>
      </c>
      <c r="I131" s="12">
        <f>H131/F131</f>
        <v/>
      </c>
      <c r="J131" s="9" t="inlineStr">
        <is>
          <t>Carlos Eduardo Rocha</t>
        </is>
      </c>
      <c r="K131" s="13" t="inlineStr">
        <is>
          <t>C03</t>
        </is>
      </c>
      <c r="L131" s="13">
        <f>IF(H131=0, "Correto", "Divergente")</f>
        <v/>
      </c>
    </row>
    <row r="132">
      <c r="A132" s="2" t="n">
        <v>131</v>
      </c>
      <c r="B132" s="2" t="n">
        <v>84</v>
      </c>
      <c r="C132" s="3" t="inlineStr">
        <is>
          <t>Cartucho Colorido Premium (Modelo 10)</t>
        </is>
      </c>
      <c r="D132" s="3" t="inlineStr">
        <is>
          <t>Impressão</t>
        </is>
      </c>
      <c r="E132" s="4" t="inlineStr">
        <is>
          <t>2025-06-05</t>
        </is>
      </c>
      <c r="F132" s="5" t="n">
        <v>646</v>
      </c>
      <c r="G132" s="5" t="n">
        <v>646</v>
      </c>
      <c r="H132" s="5">
        <f>G132-F132</f>
        <v/>
      </c>
      <c r="I132" s="6">
        <f>H132/F132</f>
        <v/>
      </c>
      <c r="J132" s="3" t="inlineStr">
        <is>
          <t>Beatriz Castilho</t>
        </is>
      </c>
      <c r="K132" s="7" t="inlineStr">
        <is>
          <t>C03</t>
        </is>
      </c>
      <c r="L132" s="7">
        <f>IF(H132=0, "Correto", "Divergente")</f>
        <v/>
      </c>
    </row>
    <row r="133">
      <c r="A133" s="8" t="n">
        <v>132</v>
      </c>
      <c r="B133" s="8" t="n">
        <v>135</v>
      </c>
      <c r="C133" s="9" t="inlineStr">
        <is>
          <t>Caixa de Som USB 10W (Modelo 1)</t>
        </is>
      </c>
      <c r="D133" s="9" t="inlineStr">
        <is>
          <t>Áudio</t>
        </is>
      </c>
      <c r="E133" s="10" t="inlineStr">
        <is>
          <t>2026-12-22</t>
        </is>
      </c>
      <c r="F133" s="11" t="n">
        <v>806</v>
      </c>
      <c r="G133" s="11" t="n">
        <v>803</v>
      </c>
      <c r="H133" s="11">
        <f>G133-F133</f>
        <v/>
      </c>
      <c r="I133" s="12">
        <f>H133/F133</f>
        <v/>
      </c>
      <c r="J133" s="9" t="inlineStr">
        <is>
          <t>Carlos Eduardo Rocha</t>
        </is>
      </c>
      <c r="K133" s="13" t="inlineStr">
        <is>
          <t>A02</t>
        </is>
      </c>
      <c r="L133" s="13">
        <f>IF(H133=0, "Correto", "Divergente")</f>
        <v/>
      </c>
    </row>
    <row r="134">
      <c r="A134" s="2" t="n">
        <v>133</v>
      </c>
      <c r="B134" s="2" t="n">
        <v>152</v>
      </c>
      <c r="C134" s="3" t="inlineStr">
        <is>
          <t>Combo Teclado e Mouse (Modelo 3)</t>
        </is>
      </c>
      <c r="D134" s="3" t="inlineStr">
        <is>
          <t>Periféricos</t>
        </is>
      </c>
      <c r="E134" s="4" t="inlineStr">
        <is>
          <t>2024-03-26</t>
        </is>
      </c>
      <c r="F134" s="5" t="n">
        <v>576</v>
      </c>
      <c r="G134" s="5" t="n">
        <v>576</v>
      </c>
      <c r="H134" s="5">
        <f>G134-F134</f>
        <v/>
      </c>
      <c r="I134" s="6">
        <f>H134/F134</f>
        <v/>
      </c>
      <c r="J134" s="3" t="inlineStr">
        <is>
          <t>Patricia Prado</t>
        </is>
      </c>
      <c r="K134" s="7" t="inlineStr">
        <is>
          <t>Depósito Externo</t>
        </is>
      </c>
      <c r="L134" s="7">
        <f>IF(H134=0, "Correto", "Divergente")</f>
        <v/>
      </c>
    </row>
    <row r="135">
      <c r="A135" s="8" t="n">
        <v>134</v>
      </c>
      <c r="B135" s="8" t="n">
        <v>28</v>
      </c>
      <c r="C135" s="9" t="inlineStr">
        <is>
          <t>Access Point Wi-Fi Corporativo (Modelo 14)</t>
        </is>
      </c>
      <c r="D135" s="9" t="inlineStr">
        <is>
          <t>Redes</t>
        </is>
      </c>
      <c r="E135" s="10" t="inlineStr">
        <is>
          <t>2026-03-02</t>
        </is>
      </c>
      <c r="F135" s="11" t="n">
        <v>4711</v>
      </c>
      <c r="G135" s="11" t="n">
        <v>5261</v>
      </c>
      <c r="H135" s="11">
        <f>G135-F135</f>
        <v/>
      </c>
      <c r="I135" s="12">
        <f>H135/F135</f>
        <v/>
      </c>
      <c r="J135" s="9" t="inlineStr">
        <is>
          <t>Patricia Prado</t>
        </is>
      </c>
      <c r="K135" s="13" t="inlineStr">
        <is>
          <t>C03</t>
        </is>
      </c>
      <c r="L135" s="13">
        <f>IF(H135=0, "Correto", "Divergente")</f>
        <v/>
      </c>
    </row>
    <row r="136">
      <c r="A136" s="2" t="n">
        <v>135</v>
      </c>
      <c r="B136" s="2" t="n">
        <v>6</v>
      </c>
      <c r="C136" s="3" t="inlineStr">
        <is>
          <t>Cartão de Memória MicroSD 128GB (Modelo 7)</t>
        </is>
      </c>
      <c r="D136" s="3" t="inlineStr">
        <is>
          <t>Armazenamento</t>
        </is>
      </c>
      <c r="E136" s="4" t="inlineStr">
        <is>
          <t>2024-11-09</t>
        </is>
      </c>
      <c r="F136" s="5" t="n">
        <v>2609</v>
      </c>
      <c r="G136" s="5" t="n">
        <v>2609</v>
      </c>
      <c r="H136" s="5">
        <f>G136-F136</f>
        <v/>
      </c>
      <c r="I136" s="6">
        <f>H136/F136</f>
        <v/>
      </c>
      <c r="J136" s="3" t="inlineStr">
        <is>
          <t>Mariana Alcantara</t>
        </is>
      </c>
      <c r="K136" s="7" t="inlineStr">
        <is>
          <t>C01</t>
        </is>
      </c>
      <c r="L136" s="7">
        <f>IF(H136=0, "Correto", "Divergente")</f>
        <v/>
      </c>
    </row>
    <row r="137">
      <c r="A137" s="8" t="n">
        <v>136</v>
      </c>
      <c r="B137" s="8" t="n">
        <v>24</v>
      </c>
      <c r="C137" s="9" t="inlineStr">
        <is>
          <t>Cartucho Colorido Premium (Modelo 10)</t>
        </is>
      </c>
      <c r="D137" s="9" t="inlineStr">
        <is>
          <t>Impressão</t>
        </is>
      </c>
      <c r="E137" s="10" t="inlineStr">
        <is>
          <t>2024-12-10</t>
        </is>
      </c>
      <c r="F137" s="11" t="n">
        <v>4381</v>
      </c>
      <c r="G137" s="11" t="n">
        <v>4171</v>
      </c>
      <c r="H137" s="11">
        <f>G137-F137</f>
        <v/>
      </c>
      <c r="I137" s="12">
        <f>H137/F137</f>
        <v/>
      </c>
      <c r="J137" s="9" t="inlineStr">
        <is>
          <t>Carlos Eduardo Rocha</t>
        </is>
      </c>
      <c r="K137" s="13" t="inlineStr">
        <is>
          <t>A02</t>
        </is>
      </c>
      <c r="L137" s="13">
        <f>IF(H137=0, "Correto", "Divergente")</f>
        <v/>
      </c>
    </row>
    <row r="138">
      <c r="A138" s="2" t="n">
        <v>137</v>
      </c>
      <c r="B138" s="2" t="n">
        <v>193</v>
      </c>
      <c r="C138" s="3" t="inlineStr">
        <is>
          <t>Monitor LED 21.5" Full HD (Modelo 14)</t>
        </is>
      </c>
      <c r="D138" s="3" t="inlineStr">
        <is>
          <t>Monitores</t>
        </is>
      </c>
      <c r="E138" s="4" t="inlineStr">
        <is>
          <t>2026-12-02</t>
        </is>
      </c>
      <c r="F138" s="5" t="n">
        <v>981</v>
      </c>
      <c r="G138" s="5" t="n">
        <v>981</v>
      </c>
      <c r="H138" s="5">
        <f>G138-F138</f>
        <v/>
      </c>
      <c r="I138" s="6">
        <f>H138/F138</f>
        <v/>
      </c>
      <c r="J138" s="3" t="inlineStr">
        <is>
          <t>Beatriz Castilho</t>
        </is>
      </c>
      <c r="K138" s="7" t="inlineStr">
        <is>
          <t>A03</t>
        </is>
      </c>
      <c r="L138" s="7">
        <f>IF(H138=0, "Correto", "Divergente")</f>
        <v/>
      </c>
    </row>
    <row r="139">
      <c r="A139" s="8" t="n">
        <v>138</v>
      </c>
      <c r="B139" s="8" t="n">
        <v>79</v>
      </c>
      <c r="C139" s="9" t="inlineStr">
        <is>
          <t>Cabo DisplayPort 1.4 1.8m (Modelo 5)</t>
        </is>
      </c>
      <c r="D139" s="9" t="inlineStr">
        <is>
          <t>Acessórios</t>
        </is>
      </c>
      <c r="E139" s="10" t="inlineStr">
        <is>
          <t>2026-08-22</t>
        </is>
      </c>
      <c r="F139" s="11" t="n">
        <v>1983</v>
      </c>
      <c r="G139" s="11" t="n">
        <v>1983</v>
      </c>
      <c r="H139" s="11">
        <f>G139-F139</f>
        <v/>
      </c>
      <c r="I139" s="12">
        <f>H139/F139</f>
        <v/>
      </c>
      <c r="J139" s="9" t="inlineStr">
        <is>
          <t>Patricia Prado</t>
        </is>
      </c>
      <c r="K139" s="13" t="inlineStr">
        <is>
          <t>B01</t>
        </is>
      </c>
      <c r="L139" s="13">
        <f>IF(H139=0, "Correto", "Divergente")</f>
        <v/>
      </c>
    </row>
    <row r="140">
      <c r="A140" s="2" t="n">
        <v>139</v>
      </c>
      <c r="B140" s="2" t="n">
        <v>103</v>
      </c>
      <c r="C140" s="3" t="inlineStr">
        <is>
          <t>Monitor LED 21.5" Full HD (Modelo 14)</t>
        </is>
      </c>
      <c r="D140" s="3" t="inlineStr">
        <is>
          <t>Monitores</t>
        </is>
      </c>
      <c r="E140" s="4" t="inlineStr">
        <is>
          <t>2025-05-03</t>
        </is>
      </c>
      <c r="F140" s="5" t="n">
        <v>4212</v>
      </c>
      <c r="G140" s="5" t="n">
        <v>4162</v>
      </c>
      <c r="H140" s="5">
        <f>G140-F140</f>
        <v/>
      </c>
      <c r="I140" s="6">
        <f>H140/F140</f>
        <v/>
      </c>
      <c r="J140" s="3" t="inlineStr">
        <is>
          <t>Gustavo Silveira</t>
        </is>
      </c>
      <c r="K140" s="7" t="inlineStr">
        <is>
          <t>A01</t>
        </is>
      </c>
      <c r="L140" s="7">
        <f>IF(H140=0, "Correto", "Divergente")</f>
        <v/>
      </c>
    </row>
    <row r="141">
      <c r="A141" s="8" t="n">
        <v>140</v>
      </c>
      <c r="B141" s="8" t="n">
        <v>126</v>
      </c>
      <c r="C141" s="9" t="inlineStr">
        <is>
          <t>Cartão de Memória MicroSD 128GB (Modelo 7)</t>
        </is>
      </c>
      <c r="D141" s="9" t="inlineStr">
        <is>
          <t>Armazenamento</t>
        </is>
      </c>
      <c r="E141" s="10" t="inlineStr">
        <is>
          <t>2025-05-25</t>
        </is>
      </c>
      <c r="F141" s="11" t="n">
        <v>4880</v>
      </c>
      <c r="G141" s="11" t="n">
        <v>4880</v>
      </c>
      <c r="H141" s="11">
        <f>G141-F141</f>
        <v/>
      </c>
      <c r="I141" s="12">
        <f>H141/F141</f>
        <v/>
      </c>
      <c r="J141" s="9" t="inlineStr">
        <is>
          <t>Fernanda Vasconcelos</t>
        </is>
      </c>
      <c r="K141" s="13" t="inlineStr">
        <is>
          <t>A02</t>
        </is>
      </c>
      <c r="L141" s="13">
        <f>IF(H141=0, "Correto", "Divergente")</f>
        <v/>
      </c>
    </row>
    <row r="142">
      <c r="A142" s="2" t="n">
        <v>141</v>
      </c>
      <c r="B142" s="2" t="n">
        <v>151</v>
      </c>
      <c r="C142" s="3" t="inlineStr">
        <is>
          <t>Chromebook 11.6" (Modelo 2)</t>
        </is>
      </c>
      <c r="D142" s="3" t="inlineStr">
        <is>
          <t>Informática</t>
        </is>
      </c>
      <c r="E142" s="4" t="inlineStr">
        <is>
          <t>2026-09-02</t>
        </is>
      </c>
      <c r="F142" s="5" t="n">
        <v>4838</v>
      </c>
      <c r="G142" s="5" t="n">
        <v>4838</v>
      </c>
      <c r="H142" s="5">
        <f>G142-F142</f>
        <v/>
      </c>
      <c r="I142" s="6">
        <f>H142/F142</f>
        <v/>
      </c>
      <c r="J142" s="3" t="inlineStr">
        <is>
          <t>Marcelo Fontes</t>
        </is>
      </c>
      <c r="K142" s="7" t="inlineStr">
        <is>
          <t>A01</t>
        </is>
      </c>
      <c r="L142" s="7">
        <f>IF(H142=0, "Correto", "Divergente")</f>
        <v/>
      </c>
    </row>
    <row r="143">
      <c r="A143" s="8" t="n">
        <v>142</v>
      </c>
      <c r="B143" s="8" t="n">
        <v>128</v>
      </c>
      <c r="C143" s="9" t="inlineStr">
        <is>
          <t>Switch Gigabit 16 Portas (Modelo 9)</t>
        </is>
      </c>
      <c r="D143" s="9" t="inlineStr">
        <is>
          <t>Redes</t>
        </is>
      </c>
      <c r="E143" s="10" t="inlineStr">
        <is>
          <t>2025-03-23</t>
        </is>
      </c>
      <c r="F143" s="11" t="n">
        <v>3152</v>
      </c>
      <c r="G143" s="11" t="n">
        <v>3152</v>
      </c>
      <c r="H143" s="11">
        <f>G143-F143</f>
        <v/>
      </c>
      <c r="I143" s="12">
        <f>H143/F143</f>
        <v/>
      </c>
      <c r="J143" s="9" t="inlineStr">
        <is>
          <t>Marcelo Fontes</t>
        </is>
      </c>
      <c r="K143" s="13" t="inlineStr">
        <is>
          <t>C02</t>
        </is>
      </c>
      <c r="L143" s="13">
        <f>IF(H143=0, "Correto", "Divergente")</f>
        <v/>
      </c>
    </row>
    <row r="144">
      <c r="A144" s="2" t="n">
        <v>143</v>
      </c>
      <c r="B144" s="2" t="n">
        <v>36</v>
      </c>
      <c r="C144" s="3" t="inlineStr">
        <is>
          <t>Cartão de Memória MicroSD 128GB (Modelo 7)</t>
        </is>
      </c>
      <c r="D144" s="3" t="inlineStr">
        <is>
          <t>Armazenamento</t>
        </is>
      </c>
      <c r="E144" s="4" t="inlineStr">
        <is>
          <t>2025-08-26</t>
        </is>
      </c>
      <c r="F144" s="5" t="n">
        <v>1975</v>
      </c>
      <c r="G144" s="5" t="n">
        <v>1957</v>
      </c>
      <c r="H144" s="5">
        <f>G144-F144</f>
        <v/>
      </c>
      <c r="I144" s="6">
        <f>H144/F144</f>
        <v/>
      </c>
      <c r="J144" s="3" t="inlineStr">
        <is>
          <t>Ricardo Mendes</t>
        </is>
      </c>
      <c r="K144" s="7" t="inlineStr">
        <is>
          <t>C01</t>
        </is>
      </c>
      <c r="L144" s="7">
        <f>IF(H144=0, "Correto", "Divergente")</f>
        <v/>
      </c>
    </row>
    <row r="145">
      <c r="A145" s="8" t="n">
        <v>144</v>
      </c>
      <c r="B145" s="8" t="n">
        <v>189</v>
      </c>
      <c r="C145" s="9" t="inlineStr">
        <is>
          <t>Mousepad Extra Grande (Modelo 10)</t>
        </is>
      </c>
      <c r="D145" s="9" t="inlineStr">
        <is>
          <t>Acessórios</t>
        </is>
      </c>
      <c r="E145" s="10" t="inlineStr">
        <is>
          <t>2024-02-23</t>
        </is>
      </c>
      <c r="F145" s="11" t="n">
        <v>2896</v>
      </c>
      <c r="G145" s="11" t="n">
        <v>2896</v>
      </c>
      <c r="H145" s="11">
        <f>G145-F145</f>
        <v/>
      </c>
      <c r="I145" s="12">
        <f>H145/F145</f>
        <v/>
      </c>
      <c r="J145" s="9" t="inlineStr">
        <is>
          <t>Marcelo Fontes</t>
        </is>
      </c>
      <c r="K145" s="13" t="inlineStr">
        <is>
          <t>A03</t>
        </is>
      </c>
      <c r="L145" s="13">
        <f>IF(H145=0, "Correto", "Divergente")</f>
        <v/>
      </c>
    </row>
    <row r="146">
      <c r="A146" s="2" t="n">
        <v>145</v>
      </c>
      <c r="B146" s="2" t="n">
        <v>136</v>
      </c>
      <c r="C146" s="3" t="inlineStr">
        <is>
          <t>HD Externo Portátil 2TB (Modelo 2)</t>
        </is>
      </c>
      <c r="D146" s="3" t="inlineStr">
        <is>
          <t>Armazenamento</t>
        </is>
      </c>
      <c r="E146" s="4" t="inlineStr">
        <is>
          <t>2024-09-07</t>
        </is>
      </c>
      <c r="F146" s="5" t="n">
        <v>4611</v>
      </c>
      <c r="G146" s="5" t="n">
        <v>4611</v>
      </c>
      <c r="H146" s="5">
        <f>G146-F146</f>
        <v/>
      </c>
      <c r="I146" s="6">
        <f>H146/F146</f>
        <v/>
      </c>
      <c r="J146" s="3" t="inlineStr">
        <is>
          <t>Fernanda Vasconcelos</t>
        </is>
      </c>
      <c r="K146" s="7" t="inlineStr">
        <is>
          <t>Depósito Externo</t>
        </is>
      </c>
      <c r="L146" s="7">
        <f>IF(H146=0, "Correto", "Divergente")</f>
        <v/>
      </c>
    </row>
    <row r="147">
      <c r="A147" s="8" t="n">
        <v>146</v>
      </c>
      <c r="B147" s="8" t="n">
        <v>20</v>
      </c>
      <c r="C147" s="9" t="inlineStr">
        <is>
          <t>Memória RAM DDR4 16GB 3200MHz (Modelo 6)</t>
        </is>
      </c>
      <c r="D147" s="9" t="inlineStr">
        <is>
          <t>Componentes</t>
        </is>
      </c>
      <c r="E147" s="10" t="inlineStr">
        <is>
          <t>2024-12-14</t>
        </is>
      </c>
      <c r="F147" s="11" t="n">
        <v>3747</v>
      </c>
      <c r="G147" s="11" t="n">
        <v>3747</v>
      </c>
      <c r="H147" s="11">
        <f>G147-F147</f>
        <v/>
      </c>
      <c r="I147" s="12">
        <f>H147/F147</f>
        <v/>
      </c>
      <c r="J147" s="9" t="inlineStr">
        <is>
          <t>Mariana Alcantara</t>
        </is>
      </c>
      <c r="K147" s="13" t="inlineStr">
        <is>
          <t>A02</t>
        </is>
      </c>
      <c r="L147" s="13">
        <f>IF(H147=0, "Correto", "Divergente")</f>
        <v/>
      </c>
    </row>
    <row r="148">
      <c r="A148" s="2" t="n">
        <v>147</v>
      </c>
      <c r="B148" s="2" t="n">
        <v>107</v>
      </c>
      <c r="C148" s="3" t="inlineStr">
        <is>
          <t>Capa Protetora para Tablet (Modelo 3)</t>
        </is>
      </c>
      <c r="D148" s="3" t="inlineStr">
        <is>
          <t>Smartphones</t>
        </is>
      </c>
      <c r="E148" s="4" t="inlineStr">
        <is>
          <t>2026-04-01</t>
        </is>
      </c>
      <c r="F148" s="5" t="n">
        <v>48</v>
      </c>
      <c r="G148" s="5" t="n">
        <v>48</v>
      </c>
      <c r="H148" s="5">
        <f>G148-F148</f>
        <v/>
      </c>
      <c r="I148" s="6">
        <f>H148/F148</f>
        <v/>
      </c>
      <c r="J148" s="3" t="inlineStr">
        <is>
          <t>Carlos Eduardo Rocha</t>
        </is>
      </c>
      <c r="K148" s="7" t="inlineStr">
        <is>
          <t>B02</t>
        </is>
      </c>
      <c r="L148" s="7">
        <f>IF(H148=0, "Correto", "Divergente")</f>
        <v/>
      </c>
    </row>
    <row r="149">
      <c r="A149" s="8" t="n">
        <v>148</v>
      </c>
      <c r="B149" s="8" t="n">
        <v>193</v>
      </c>
      <c r="C149" s="9" t="inlineStr">
        <is>
          <t>Monitor LED 21.5" Full HD (Modelo 14)</t>
        </is>
      </c>
      <c r="D149" s="9" t="inlineStr">
        <is>
          <t>Monitores</t>
        </is>
      </c>
      <c r="E149" s="10" t="inlineStr">
        <is>
          <t>2024-12-12</t>
        </is>
      </c>
      <c r="F149" s="11" t="n">
        <v>4299</v>
      </c>
      <c r="G149" s="11" t="n">
        <v>4299</v>
      </c>
      <c r="H149" s="11">
        <f>G149-F149</f>
        <v/>
      </c>
      <c r="I149" s="12">
        <f>H149/F149</f>
        <v/>
      </c>
      <c r="J149" s="9" t="inlineStr">
        <is>
          <t>Beatriz Castilho</t>
        </is>
      </c>
      <c r="K149" s="13" t="inlineStr">
        <is>
          <t>A02</t>
        </is>
      </c>
      <c r="L149" s="13">
        <f>IF(H149=0, "Correto", "Divergente")</f>
        <v/>
      </c>
    </row>
    <row r="150">
      <c r="A150" s="2" t="n">
        <v>149</v>
      </c>
      <c r="B150" s="2" t="n">
        <v>66</v>
      </c>
      <c r="C150" s="3" t="inlineStr">
        <is>
          <t>Cartão de Memória MicroSD 128GB (Modelo 7)</t>
        </is>
      </c>
      <c r="D150" s="3" t="inlineStr">
        <is>
          <t>Armazenamento</t>
        </is>
      </c>
      <c r="E150" s="4" t="inlineStr">
        <is>
          <t>2024-12-09</t>
        </is>
      </c>
      <c r="F150" s="5" t="n">
        <v>298</v>
      </c>
      <c r="G150" s="5" t="n">
        <v>298</v>
      </c>
      <c r="H150" s="5">
        <f>G150-F150</f>
        <v/>
      </c>
      <c r="I150" s="6">
        <f>H150/F150</f>
        <v/>
      </c>
      <c r="J150" s="3" t="inlineStr">
        <is>
          <t>Marcelo Fontes</t>
        </is>
      </c>
      <c r="K150" s="7" t="inlineStr">
        <is>
          <t>A02</t>
        </is>
      </c>
      <c r="L150" s="7">
        <f>IF(H150=0, "Correto", "Divergente")</f>
        <v/>
      </c>
    </row>
    <row r="151">
      <c r="A151" s="8" t="n">
        <v>150</v>
      </c>
      <c r="B151" s="8" t="n">
        <v>115</v>
      </c>
      <c r="C151" s="9" t="inlineStr">
        <is>
          <t>Headset USB com Cancelamento de Ruído (Modelo 11)</t>
        </is>
      </c>
      <c r="D151" s="9" t="inlineStr">
        <is>
          <t>Áudio</t>
        </is>
      </c>
      <c r="E151" s="10" t="inlineStr">
        <is>
          <t>2024-03-13</t>
        </is>
      </c>
      <c r="F151" s="11" t="n">
        <v>2914</v>
      </c>
      <c r="G151" s="11" t="n">
        <v>3187</v>
      </c>
      <c r="H151" s="11">
        <f>G151-F151</f>
        <v/>
      </c>
      <c r="I151" s="12">
        <f>H151/F151</f>
        <v/>
      </c>
      <c r="J151" s="9" t="inlineStr">
        <is>
          <t>Patricia Prado</t>
        </is>
      </c>
      <c r="K151" s="13" t="inlineStr">
        <is>
          <t>C03</t>
        </is>
      </c>
      <c r="L151" s="13">
        <f>IF(H151=0, "Correto", "Divergente")</f>
        <v/>
      </c>
    </row>
    <row r="152">
      <c r="A152" s="2" t="n">
        <v>151</v>
      </c>
      <c r="B152" s="2" t="n">
        <v>162</v>
      </c>
      <c r="C152" s="3" t="inlineStr">
        <is>
          <t>Teclado Mecânico RGB (Modelo 13)</t>
        </is>
      </c>
      <c r="D152" s="3" t="inlineStr">
        <is>
          <t>Periféricos</t>
        </is>
      </c>
      <c r="E152" s="4" t="inlineStr">
        <is>
          <t>2024-03-11</t>
        </is>
      </c>
      <c r="F152" s="5" t="n">
        <v>1557</v>
      </c>
      <c r="G152" s="5" t="n">
        <v>1557</v>
      </c>
      <c r="H152" s="5">
        <f>G152-F152</f>
        <v/>
      </c>
      <c r="I152" s="6">
        <f>H152/F152</f>
        <v/>
      </c>
      <c r="J152" s="3" t="inlineStr">
        <is>
          <t>Patricia Prado</t>
        </is>
      </c>
      <c r="K152" s="7" t="inlineStr">
        <is>
          <t>A01</t>
        </is>
      </c>
      <c r="L152" s="7">
        <f>IF(H152=0, "Correto", "Divergente")</f>
        <v/>
      </c>
    </row>
    <row r="153">
      <c r="A153" s="8" t="n">
        <v>152</v>
      </c>
      <c r="B153" s="8" t="n">
        <v>75</v>
      </c>
      <c r="C153" s="9" t="inlineStr">
        <is>
          <t>Caixa de Som USB 10W (Modelo 1)</t>
        </is>
      </c>
      <c r="D153" s="9" t="inlineStr">
        <is>
          <t>Áudio</t>
        </is>
      </c>
      <c r="E153" s="10" t="inlineStr">
        <is>
          <t>2024-07-05</t>
        </is>
      </c>
      <c r="F153" s="11" t="n">
        <v>1380</v>
      </c>
      <c r="G153" s="11" t="n">
        <v>1380</v>
      </c>
      <c r="H153" s="11">
        <f>G153-F153</f>
        <v/>
      </c>
      <c r="I153" s="12">
        <f>H153/F153</f>
        <v/>
      </c>
      <c r="J153" s="9" t="inlineStr">
        <is>
          <t>Ricardo Mendes</t>
        </is>
      </c>
      <c r="K153" s="13" t="inlineStr">
        <is>
          <t>B01</t>
        </is>
      </c>
      <c r="L153" s="13">
        <f>IF(H153=0, "Correto", "Divergente")</f>
        <v/>
      </c>
    </row>
    <row r="154">
      <c r="A154" s="2" t="n">
        <v>153</v>
      </c>
      <c r="B154" s="2" t="n">
        <v>2</v>
      </c>
      <c r="C154" s="3" t="inlineStr">
        <is>
          <t>Teclado Sem Fio Ergológico (Modelo 3)</t>
        </is>
      </c>
      <c r="D154" s="3" t="inlineStr">
        <is>
          <t>Periféricos</t>
        </is>
      </c>
      <c r="E154" s="4" t="inlineStr">
        <is>
          <t>2025-08-10</t>
        </is>
      </c>
      <c r="F154" s="5" t="n">
        <v>358</v>
      </c>
      <c r="G154" s="5" t="n">
        <v>358</v>
      </c>
      <c r="H154" s="5">
        <f>G154-F154</f>
        <v/>
      </c>
      <c r="I154" s="6">
        <f>H154/F154</f>
        <v/>
      </c>
      <c r="J154" s="3" t="inlineStr">
        <is>
          <t>Ricardo Mendes</t>
        </is>
      </c>
      <c r="K154" s="7" t="inlineStr">
        <is>
          <t>A02</t>
        </is>
      </c>
      <c r="L154" s="7">
        <f>IF(H154=0, "Correto", "Divergente")</f>
        <v/>
      </c>
    </row>
    <row r="155">
      <c r="A155" s="8" t="n">
        <v>154</v>
      </c>
      <c r="B155" s="8" t="n">
        <v>180</v>
      </c>
      <c r="C155" s="9" t="inlineStr">
        <is>
          <t>Cooler para Processador 120mm (Modelo 1)</t>
        </is>
      </c>
      <c r="D155" s="9" t="inlineStr">
        <is>
          <t>Componentes</t>
        </is>
      </c>
      <c r="E155" s="10" t="inlineStr">
        <is>
          <t>2024-12-09</t>
        </is>
      </c>
      <c r="F155" s="11" t="n">
        <v>4485</v>
      </c>
      <c r="G155" s="11" t="n">
        <v>4485</v>
      </c>
      <c r="H155" s="11">
        <f>G155-F155</f>
        <v/>
      </c>
      <c r="I155" s="12">
        <f>H155/F155</f>
        <v/>
      </c>
      <c r="J155" s="9" t="inlineStr">
        <is>
          <t>Camila Azevedo</t>
        </is>
      </c>
      <c r="K155" s="13" t="inlineStr">
        <is>
          <t>C03</t>
        </is>
      </c>
      <c r="L155" s="13">
        <f>IF(H155=0, "Correto", "Divergente")</f>
        <v/>
      </c>
    </row>
    <row r="156">
      <c r="A156" s="2" t="n">
        <v>155</v>
      </c>
      <c r="B156" s="2" t="n">
        <v>61</v>
      </c>
      <c r="C156" s="3" t="inlineStr">
        <is>
          <t>Mini PC Ryzen 5 (Modelo 2)</t>
        </is>
      </c>
      <c r="D156" s="3" t="inlineStr">
        <is>
          <t>Informática</t>
        </is>
      </c>
      <c r="E156" s="4" t="inlineStr">
        <is>
          <t>2026-10-11</t>
        </is>
      </c>
      <c r="F156" s="5" t="n">
        <v>437</v>
      </c>
      <c r="G156" s="5" t="n">
        <v>437</v>
      </c>
      <c r="H156" s="5">
        <f>G156-F156</f>
        <v/>
      </c>
      <c r="I156" s="6">
        <f>H156/F156</f>
        <v/>
      </c>
      <c r="J156" s="3" t="inlineStr">
        <is>
          <t>Fernanda Vasconcelos</t>
        </is>
      </c>
      <c r="K156" s="7" t="inlineStr">
        <is>
          <t>C03</t>
        </is>
      </c>
      <c r="L156" s="7">
        <f>IF(H156=0, "Correto", "Divergente")</f>
        <v/>
      </c>
    </row>
    <row r="157">
      <c r="A157" s="8" t="n">
        <v>156</v>
      </c>
      <c r="B157" s="8" t="n">
        <v>101</v>
      </c>
      <c r="C157" s="9" t="inlineStr">
        <is>
          <t>Mini PC Ryzen 5 (Modelo 12)</t>
        </is>
      </c>
      <c r="D157" s="9" t="inlineStr">
        <is>
          <t>Informática</t>
        </is>
      </c>
      <c r="E157" s="10" t="inlineStr">
        <is>
          <t>2026-08-08</t>
        </is>
      </c>
      <c r="F157" s="11" t="n">
        <v>717</v>
      </c>
      <c r="G157" s="11" t="n">
        <v>717</v>
      </c>
      <c r="H157" s="11">
        <f>G157-F157</f>
        <v/>
      </c>
      <c r="I157" s="12">
        <f>H157/F157</f>
        <v/>
      </c>
      <c r="J157" s="9" t="inlineStr">
        <is>
          <t>Carlos Eduardo Rocha</t>
        </is>
      </c>
      <c r="K157" s="13" t="inlineStr">
        <is>
          <t>C01</t>
        </is>
      </c>
      <c r="L157" s="13">
        <f>IF(H157=0, "Correto", "Divergente")</f>
        <v/>
      </c>
    </row>
    <row r="158">
      <c r="A158" s="2" t="n">
        <v>157</v>
      </c>
      <c r="B158" s="2" t="n">
        <v>99</v>
      </c>
      <c r="C158" s="3" t="inlineStr">
        <is>
          <t>Cabo HDMI 2.0 2 metros (Modelo 10)</t>
        </is>
      </c>
      <c r="D158" s="3" t="inlineStr">
        <is>
          <t>Acessórios</t>
        </is>
      </c>
      <c r="E158" s="4" t="inlineStr">
        <is>
          <t>2024-07-02</t>
        </is>
      </c>
      <c r="F158" s="5" t="n">
        <v>3614</v>
      </c>
      <c r="G158" s="5" t="n">
        <v>3614</v>
      </c>
      <c r="H158" s="5">
        <f>G158-F158</f>
        <v/>
      </c>
      <c r="I158" s="6">
        <f>H158/F158</f>
        <v/>
      </c>
      <c r="J158" s="3" t="inlineStr">
        <is>
          <t>Roberto Fernandes</t>
        </is>
      </c>
      <c r="K158" s="7" t="inlineStr">
        <is>
          <t>A03</t>
        </is>
      </c>
      <c r="L158" s="7">
        <f>IF(H158=0, "Correto", "Divergente")</f>
        <v/>
      </c>
    </row>
    <row r="159">
      <c r="A159" s="8" t="n">
        <v>158</v>
      </c>
      <c r="B159" s="8" t="n">
        <v>61</v>
      </c>
      <c r="C159" s="9" t="inlineStr">
        <is>
          <t>Mini PC Ryzen 5 (Modelo 2)</t>
        </is>
      </c>
      <c r="D159" s="9" t="inlineStr">
        <is>
          <t>Informática</t>
        </is>
      </c>
      <c r="E159" s="10" t="inlineStr">
        <is>
          <t>2024-12-03</t>
        </is>
      </c>
      <c r="F159" s="11" t="n">
        <v>4581</v>
      </c>
      <c r="G159" s="11" t="n">
        <v>4581</v>
      </c>
      <c r="H159" s="11">
        <f>G159-F159</f>
        <v/>
      </c>
      <c r="I159" s="12">
        <f>H159/F159</f>
        <v/>
      </c>
      <c r="J159" s="9" t="inlineStr">
        <is>
          <t>Beatriz Castilho</t>
        </is>
      </c>
      <c r="K159" s="13" t="inlineStr">
        <is>
          <t>C01</t>
        </is>
      </c>
      <c r="L159" s="13">
        <f>IF(H159=0, "Correto", "Divergente")</f>
        <v/>
      </c>
    </row>
    <row r="160">
      <c r="A160" s="2" t="n">
        <v>159</v>
      </c>
      <c r="B160" s="2" t="n">
        <v>72</v>
      </c>
      <c r="C160" s="3" t="inlineStr">
        <is>
          <t>Teclado Sem Fio Ergológico (Modelo 13)</t>
        </is>
      </c>
      <c r="D160" s="3" t="inlineStr">
        <is>
          <t>Periféricos</t>
        </is>
      </c>
      <c r="E160" s="4" t="inlineStr">
        <is>
          <t>2024-12-11</t>
        </is>
      </c>
      <c r="F160" s="5" t="n">
        <v>3835</v>
      </c>
      <c r="G160" s="5" t="n">
        <v>3835</v>
      </c>
      <c r="H160" s="5">
        <f>G160-F160</f>
        <v/>
      </c>
      <c r="I160" s="6">
        <f>H160/F160</f>
        <v/>
      </c>
      <c r="J160" s="3" t="inlineStr">
        <is>
          <t>Beatriz Castilho</t>
        </is>
      </c>
      <c r="K160" s="7" t="inlineStr">
        <is>
          <t>A02</t>
        </is>
      </c>
      <c r="L160" s="7">
        <f>IF(H160=0, "Correto", "Divergente")</f>
        <v/>
      </c>
    </row>
    <row r="161">
      <c r="A161" s="8" t="n">
        <v>160</v>
      </c>
      <c r="B161" s="8" t="n">
        <v>192</v>
      </c>
      <c r="C161" s="9" t="inlineStr">
        <is>
          <t>Mouse Óptico USB (Modelo 13)</t>
        </is>
      </c>
      <c r="D161" s="9" t="inlineStr">
        <is>
          <t>Periféricos</t>
        </is>
      </c>
      <c r="E161" s="10" t="inlineStr">
        <is>
          <t>2024-09-23</t>
        </is>
      </c>
      <c r="F161" s="11" t="n">
        <v>4644</v>
      </c>
      <c r="G161" s="11" t="n">
        <v>4810</v>
      </c>
      <c r="H161" s="11">
        <f>G161-F161</f>
        <v/>
      </c>
      <c r="I161" s="12">
        <f>H161/F161</f>
        <v/>
      </c>
      <c r="J161" s="9" t="inlineStr">
        <is>
          <t>Fernanda Vasconcelos</t>
        </is>
      </c>
      <c r="K161" s="13" t="inlineStr">
        <is>
          <t>C02</t>
        </is>
      </c>
      <c r="L161" s="13">
        <f>IF(H161=0, "Correto", "Divergente")</f>
        <v/>
      </c>
    </row>
    <row r="162">
      <c r="A162" s="2" t="n">
        <v>161</v>
      </c>
      <c r="B162" s="2" t="n">
        <v>178</v>
      </c>
      <c r="C162" s="3" t="inlineStr">
        <is>
          <t>Access Point Wi-Fi Corporativo (Modelo 14)</t>
        </is>
      </c>
      <c r="D162" s="3" t="inlineStr">
        <is>
          <t>Redes</t>
        </is>
      </c>
      <c r="E162" s="4" t="inlineStr">
        <is>
          <t>2024-11-01</t>
        </is>
      </c>
      <c r="F162" s="5" t="n">
        <v>2642</v>
      </c>
      <c r="G162" s="5" t="n">
        <v>2642</v>
      </c>
      <c r="H162" s="5">
        <f>G162-F162</f>
        <v/>
      </c>
      <c r="I162" s="6">
        <f>H162/F162</f>
        <v/>
      </c>
      <c r="J162" s="3" t="inlineStr">
        <is>
          <t>Marcelo Fontes</t>
        </is>
      </c>
      <c r="K162" s="7" t="inlineStr">
        <is>
          <t>A02</t>
        </is>
      </c>
      <c r="L162" s="7">
        <f>IF(H162=0, "Correto", "Divergente")</f>
        <v/>
      </c>
    </row>
    <row r="163">
      <c r="A163" s="8" t="n">
        <v>162</v>
      </c>
      <c r="B163" s="8" t="n">
        <v>36</v>
      </c>
      <c r="C163" s="9" t="inlineStr">
        <is>
          <t>Cartão de Memória MicroSD 128GB (Modelo 7)</t>
        </is>
      </c>
      <c r="D163" s="9" t="inlineStr">
        <is>
          <t>Armazenamento</t>
        </is>
      </c>
      <c r="E163" s="10" t="inlineStr">
        <is>
          <t>2024-01-04</t>
        </is>
      </c>
      <c r="F163" s="11" t="n">
        <v>3110</v>
      </c>
      <c r="G163" s="11" t="n">
        <v>3110</v>
      </c>
      <c r="H163" s="11">
        <f>G163-F163</f>
        <v/>
      </c>
      <c r="I163" s="12">
        <f>H163/F163</f>
        <v/>
      </c>
      <c r="J163" s="9" t="inlineStr">
        <is>
          <t>Patricia Prado</t>
        </is>
      </c>
      <c r="K163" s="13" t="inlineStr">
        <is>
          <t>C01</t>
        </is>
      </c>
      <c r="L163" s="13">
        <f>IF(H163=0, "Correto", "Divergente")</f>
        <v/>
      </c>
    </row>
    <row r="164">
      <c r="A164" s="2" t="n">
        <v>163</v>
      </c>
      <c r="B164" s="2" t="n">
        <v>172</v>
      </c>
      <c r="C164" s="3" t="inlineStr">
        <is>
          <t>Mouse Sem Fio Bluetooth (Modelo 8)</t>
        </is>
      </c>
      <c r="D164" s="3" t="inlineStr">
        <is>
          <t>Periféricos</t>
        </is>
      </c>
      <c r="E164" s="4" t="inlineStr">
        <is>
          <t>2025-11-24</t>
        </is>
      </c>
      <c r="F164" s="5" t="n">
        <v>4197</v>
      </c>
      <c r="G164" s="5" t="n">
        <v>3738</v>
      </c>
      <c r="H164" s="5">
        <f>G164-F164</f>
        <v/>
      </c>
      <c r="I164" s="6">
        <f>H164/F164</f>
        <v/>
      </c>
      <c r="J164" s="3" t="inlineStr">
        <is>
          <t>Camila Azevedo</t>
        </is>
      </c>
      <c r="K164" s="7" t="inlineStr">
        <is>
          <t>A01</t>
        </is>
      </c>
      <c r="L164" s="7">
        <f>IF(H164=0, "Correto", "Divergente")</f>
        <v/>
      </c>
    </row>
    <row r="165">
      <c r="A165" s="8" t="n">
        <v>164</v>
      </c>
      <c r="B165" s="8" t="n">
        <v>167</v>
      </c>
      <c r="C165" s="9" t="inlineStr">
        <is>
          <t>Capa Protetora para Tablet (Modelo 3)</t>
        </is>
      </c>
      <c r="D165" s="9" t="inlineStr">
        <is>
          <t>Smartphones</t>
        </is>
      </c>
      <c r="E165" s="10" t="inlineStr">
        <is>
          <t>2025-05-31</t>
        </is>
      </c>
      <c r="F165" s="11" t="n">
        <v>1950</v>
      </c>
      <c r="G165" s="11" t="n">
        <v>1950</v>
      </c>
      <c r="H165" s="11">
        <f>G165-F165</f>
        <v/>
      </c>
      <c r="I165" s="12">
        <f>H165/F165</f>
        <v/>
      </c>
      <c r="J165" s="9" t="inlineStr">
        <is>
          <t>Fernanda Vasconcelos</t>
        </is>
      </c>
      <c r="K165" s="13" t="inlineStr">
        <is>
          <t>B02</t>
        </is>
      </c>
      <c r="L165" s="13">
        <f>IF(H165=0, "Correto", "Divergente")</f>
        <v/>
      </c>
    </row>
    <row r="166">
      <c r="A166" s="2" t="n">
        <v>165</v>
      </c>
      <c r="B166" s="2" t="n">
        <v>153</v>
      </c>
      <c r="C166" s="3" t="inlineStr">
        <is>
          <t>Monitor 27" Curvo 144Hz (Modelo 4)</t>
        </is>
      </c>
      <c r="D166" s="3" t="inlineStr">
        <is>
          <t>Monitores</t>
        </is>
      </c>
      <c r="E166" s="4" t="inlineStr">
        <is>
          <t>2025-01-02</t>
        </is>
      </c>
      <c r="F166" s="5" t="n">
        <v>2514</v>
      </c>
      <c r="G166" s="5" t="n">
        <v>2514</v>
      </c>
      <c r="H166" s="5">
        <f>G166-F166</f>
        <v/>
      </c>
      <c r="I166" s="6">
        <f>H166/F166</f>
        <v/>
      </c>
      <c r="J166" s="3" t="inlineStr">
        <is>
          <t>Carlos Eduardo Rocha</t>
        </is>
      </c>
      <c r="K166" s="7" t="inlineStr">
        <is>
          <t>A01</t>
        </is>
      </c>
      <c r="L166" s="7">
        <f>IF(H166=0, "Correto", "Divergente")</f>
        <v/>
      </c>
    </row>
    <row r="167">
      <c r="A167" s="8" t="n">
        <v>166</v>
      </c>
      <c r="B167" s="8" t="n">
        <v>88</v>
      </c>
      <c r="C167" s="9" t="inlineStr">
        <is>
          <t>Access Point Wi-Fi Corporativo (Modelo 14)</t>
        </is>
      </c>
      <c r="D167" s="9" t="inlineStr">
        <is>
          <t>Redes</t>
        </is>
      </c>
      <c r="E167" s="10" t="inlineStr">
        <is>
          <t>2024-12-25</t>
        </is>
      </c>
      <c r="F167" s="11" t="n">
        <v>3754</v>
      </c>
      <c r="G167" s="11" t="n">
        <v>3754</v>
      </c>
      <c r="H167" s="11">
        <f>G167-F167</f>
        <v/>
      </c>
      <c r="I167" s="12">
        <f>H167/F167</f>
        <v/>
      </c>
      <c r="J167" s="9" t="inlineStr">
        <is>
          <t>Fernanda Vasconcelos</t>
        </is>
      </c>
      <c r="K167" s="13" t="inlineStr">
        <is>
          <t>C02</t>
        </is>
      </c>
      <c r="L167" s="13">
        <f>IF(H167=0, "Correto", "Divergente")</f>
        <v/>
      </c>
    </row>
    <row r="168">
      <c r="A168" s="2" t="n">
        <v>167</v>
      </c>
      <c r="B168" s="2" t="n">
        <v>193</v>
      </c>
      <c r="C168" s="3" t="inlineStr">
        <is>
          <t>Monitor LED 21.5" Full HD (Modelo 14)</t>
        </is>
      </c>
      <c r="D168" s="3" t="inlineStr">
        <is>
          <t>Monitores</t>
        </is>
      </c>
      <c r="E168" s="4" t="inlineStr">
        <is>
          <t>2024-11-21</t>
        </is>
      </c>
      <c r="F168" s="5" t="n">
        <v>4976</v>
      </c>
      <c r="G168" s="5" t="n">
        <v>5586</v>
      </c>
      <c r="H168" s="5">
        <f>G168-F168</f>
        <v/>
      </c>
      <c r="I168" s="6">
        <f>H168/F168</f>
        <v/>
      </c>
      <c r="J168" s="3" t="inlineStr">
        <is>
          <t>Patricia Prado</t>
        </is>
      </c>
      <c r="K168" s="7" t="inlineStr">
        <is>
          <t>A02</t>
        </is>
      </c>
      <c r="L168" s="7">
        <f>IF(H168=0, "Correto", "Divergente")</f>
        <v/>
      </c>
    </row>
    <row r="169">
      <c r="A169" s="8" t="n">
        <v>168</v>
      </c>
      <c r="B169" s="8" t="n">
        <v>18</v>
      </c>
      <c r="C169" s="9" t="inlineStr">
        <is>
          <t>Repetidor Wi-Fi 1200Mbps (Modelo 4)</t>
        </is>
      </c>
      <c r="D169" s="9" t="inlineStr">
        <is>
          <t>Redes</t>
        </is>
      </c>
      <c r="E169" s="10" t="inlineStr">
        <is>
          <t>2024-09-17</t>
        </is>
      </c>
      <c r="F169" s="11" t="n">
        <v>33</v>
      </c>
      <c r="G169" s="11" t="n">
        <v>33</v>
      </c>
      <c r="H169" s="11">
        <f>G169-F169</f>
        <v/>
      </c>
      <c r="I169" s="12">
        <f>H169/F169</f>
        <v/>
      </c>
      <c r="J169" s="9" t="inlineStr">
        <is>
          <t>Ricardo Mendes</t>
        </is>
      </c>
      <c r="K169" s="13" t="inlineStr">
        <is>
          <t>A03</t>
        </is>
      </c>
      <c r="L169" s="13">
        <f>IF(H169=0, "Correto", "Divergente")</f>
        <v/>
      </c>
    </row>
    <row r="170">
      <c r="A170" s="2" t="n">
        <v>169</v>
      </c>
      <c r="B170" s="2" t="n">
        <v>105</v>
      </c>
      <c r="C170" s="3" t="inlineStr">
        <is>
          <t>Caixa de Som USB 10W (Modelo 1)</t>
        </is>
      </c>
      <c r="D170" s="3" t="inlineStr">
        <is>
          <t>Áudio</t>
        </is>
      </c>
      <c r="E170" s="4" t="inlineStr">
        <is>
          <t>2025-05-31</t>
        </is>
      </c>
      <c r="F170" s="5" t="n">
        <v>167</v>
      </c>
      <c r="G170" s="5" t="n">
        <v>167</v>
      </c>
      <c r="H170" s="5">
        <f>G170-F170</f>
        <v/>
      </c>
      <c r="I170" s="6">
        <f>H170/F170</f>
        <v/>
      </c>
      <c r="J170" s="3" t="inlineStr">
        <is>
          <t>Ricardo Mendes</t>
        </is>
      </c>
      <c r="K170" s="7" t="inlineStr">
        <is>
          <t>A03</t>
        </is>
      </c>
      <c r="L170" s="7">
        <f>IF(H170=0, "Correto", "Divergente")</f>
        <v/>
      </c>
    </row>
    <row r="171">
      <c r="A171" s="8" t="n">
        <v>170</v>
      </c>
      <c r="B171" s="8" t="n">
        <v>98</v>
      </c>
      <c r="C171" s="9" t="inlineStr">
        <is>
          <t>Switch Gigabit 16 Portas (Modelo 9)</t>
        </is>
      </c>
      <c r="D171" s="9" t="inlineStr">
        <is>
          <t>Redes</t>
        </is>
      </c>
      <c r="E171" s="10" t="inlineStr">
        <is>
          <t>2024-01-11</t>
        </is>
      </c>
      <c r="F171" s="11" t="n">
        <v>3638</v>
      </c>
      <c r="G171" s="11" t="n">
        <v>3638</v>
      </c>
      <c r="H171" s="11">
        <f>G171-F171</f>
        <v/>
      </c>
      <c r="I171" s="12">
        <f>H171/F171</f>
        <v/>
      </c>
      <c r="J171" s="9" t="inlineStr">
        <is>
          <t>Mariana Alcantara</t>
        </is>
      </c>
      <c r="K171" s="13" t="inlineStr">
        <is>
          <t>B01</t>
        </is>
      </c>
      <c r="L171" s="13">
        <f>IF(H171=0, "Correto", "Divergente")</f>
        <v/>
      </c>
    </row>
    <row r="172">
      <c r="A172" s="2" t="n">
        <v>171</v>
      </c>
      <c r="B172" s="2" t="n">
        <v>84</v>
      </c>
      <c r="C172" s="3" t="inlineStr">
        <is>
          <t>Cartucho Colorido Premium (Modelo 10)</t>
        </is>
      </c>
      <c r="D172" s="3" t="inlineStr">
        <is>
          <t>Impressão</t>
        </is>
      </c>
      <c r="E172" s="4" t="inlineStr">
        <is>
          <t>2026-06-27</t>
        </is>
      </c>
      <c r="F172" s="5" t="n">
        <v>560</v>
      </c>
      <c r="G172" s="5" t="n">
        <v>549</v>
      </c>
      <c r="H172" s="5">
        <f>G172-F172</f>
        <v/>
      </c>
      <c r="I172" s="6">
        <f>H172/F172</f>
        <v/>
      </c>
      <c r="J172" s="3" t="inlineStr">
        <is>
          <t>Patricia Prado</t>
        </is>
      </c>
      <c r="K172" s="7" t="inlineStr">
        <is>
          <t>C02</t>
        </is>
      </c>
      <c r="L172" s="7">
        <f>IF(H172=0, "Correto", "Divergente")</f>
        <v/>
      </c>
    </row>
    <row r="173">
      <c r="A173" s="8" t="n">
        <v>172</v>
      </c>
      <c r="B173" s="8" t="n">
        <v>187</v>
      </c>
      <c r="C173" s="9" t="inlineStr">
        <is>
          <t>Smartphone Empresarial 128GB (Modelo 8)</t>
        </is>
      </c>
      <c r="D173" s="9" t="inlineStr">
        <is>
          <t>Smartphones</t>
        </is>
      </c>
      <c r="E173" s="10" t="inlineStr">
        <is>
          <t>2025-09-01</t>
        </is>
      </c>
      <c r="F173" s="11" t="n">
        <v>2056</v>
      </c>
      <c r="G173" s="11" t="n">
        <v>2056</v>
      </c>
      <c r="H173" s="11">
        <f>G173-F173</f>
        <v/>
      </c>
      <c r="I173" s="12">
        <f>H173/F173</f>
        <v/>
      </c>
      <c r="J173" s="9" t="inlineStr">
        <is>
          <t>Camila Azevedo</t>
        </is>
      </c>
      <c r="K173" s="13" t="inlineStr">
        <is>
          <t>C01</t>
        </is>
      </c>
      <c r="L173" s="13">
        <f>IF(H173=0, "Correto", "Divergente")</f>
        <v/>
      </c>
    </row>
    <row r="174">
      <c r="A174" s="2" t="n">
        <v>173</v>
      </c>
      <c r="B174" s="2" t="n">
        <v>121</v>
      </c>
      <c r="C174" s="3" t="inlineStr">
        <is>
          <t>Notebook Corporate i5 16GB (Modelo 2)</t>
        </is>
      </c>
      <c r="D174" s="3" t="inlineStr">
        <is>
          <t>Informática</t>
        </is>
      </c>
      <c r="E174" s="4" t="inlineStr">
        <is>
          <t>2025-08-30</t>
        </is>
      </c>
      <c r="F174" s="5" t="n">
        <v>2566</v>
      </c>
      <c r="G174" s="5" t="n">
        <v>2490</v>
      </c>
      <c r="H174" s="5">
        <f>G174-F174</f>
        <v/>
      </c>
      <c r="I174" s="6">
        <f>H174/F174</f>
        <v/>
      </c>
      <c r="J174" s="3" t="inlineStr">
        <is>
          <t>Camila Azevedo</t>
        </is>
      </c>
      <c r="K174" s="7" t="inlineStr">
        <is>
          <t>C03</t>
        </is>
      </c>
      <c r="L174" s="7">
        <f>IF(H174=0, "Correto", "Divergente")</f>
        <v/>
      </c>
    </row>
    <row r="175">
      <c r="A175" s="8" t="n">
        <v>174</v>
      </c>
      <c r="B175" s="8" t="n">
        <v>8</v>
      </c>
      <c r="C175" s="9" t="inlineStr">
        <is>
          <t>Switch Gigabit 16 Portas (Modelo 9)</t>
        </is>
      </c>
      <c r="D175" s="9" t="inlineStr">
        <is>
          <t>Redes</t>
        </is>
      </c>
      <c r="E175" s="10" t="inlineStr">
        <is>
          <t>2025-02-22</t>
        </is>
      </c>
      <c r="F175" s="11" t="n">
        <v>1748</v>
      </c>
      <c r="G175" s="11" t="n">
        <v>1787</v>
      </c>
      <c r="H175" s="11">
        <f>G175-F175</f>
        <v/>
      </c>
      <c r="I175" s="12">
        <f>H175/F175</f>
        <v/>
      </c>
      <c r="J175" s="9" t="inlineStr">
        <is>
          <t>Gustavo Silveira</t>
        </is>
      </c>
      <c r="K175" s="13" t="inlineStr">
        <is>
          <t>B01</t>
        </is>
      </c>
      <c r="L175" s="13">
        <f>IF(H175=0, "Correto", "Divergente")</f>
        <v/>
      </c>
    </row>
    <row r="176">
      <c r="A176" s="2" t="n">
        <v>175</v>
      </c>
      <c r="B176" s="2" t="n">
        <v>178</v>
      </c>
      <c r="C176" s="3" t="inlineStr">
        <is>
          <t>Access Point Wi-Fi Corporativo (Modelo 14)</t>
        </is>
      </c>
      <c r="D176" s="3" t="inlineStr">
        <is>
          <t>Redes</t>
        </is>
      </c>
      <c r="E176" s="4" t="inlineStr">
        <is>
          <t>2025-10-28</t>
        </is>
      </c>
      <c r="F176" s="5" t="n">
        <v>1359</v>
      </c>
      <c r="G176" s="5" t="n">
        <v>1350</v>
      </c>
      <c r="H176" s="5">
        <f>G176-F176</f>
        <v/>
      </c>
      <c r="I176" s="6">
        <f>H176/F176</f>
        <v/>
      </c>
      <c r="J176" s="3" t="inlineStr">
        <is>
          <t>Gustavo Silveira</t>
        </is>
      </c>
      <c r="K176" s="7" t="inlineStr">
        <is>
          <t>A03</t>
        </is>
      </c>
      <c r="L176" s="7">
        <f>IF(H176=0, "Correto", "Divergente")</f>
        <v/>
      </c>
    </row>
    <row r="177">
      <c r="A177" s="8" t="n">
        <v>176</v>
      </c>
      <c r="B177" s="8" t="n">
        <v>154</v>
      </c>
      <c r="C177" s="9" t="inlineStr">
        <is>
          <t>Toner HP Preto Original (Modelo 5)</t>
        </is>
      </c>
      <c r="D177" s="9" t="inlineStr">
        <is>
          <t>Impressão</t>
        </is>
      </c>
      <c r="E177" s="10" t="inlineStr">
        <is>
          <t>2025-11-17</t>
        </is>
      </c>
      <c r="F177" s="11" t="n">
        <v>4395</v>
      </c>
      <c r="G177" s="11" t="n">
        <v>4395</v>
      </c>
      <c r="H177" s="11">
        <f>G177-F177</f>
        <v/>
      </c>
      <c r="I177" s="12">
        <f>H177/F177</f>
        <v/>
      </c>
      <c r="J177" s="9" t="inlineStr">
        <is>
          <t>Camila Azevedo</t>
        </is>
      </c>
      <c r="K177" s="13" t="inlineStr">
        <is>
          <t>C03</t>
        </is>
      </c>
      <c r="L177" s="13">
        <f>IF(H177=0, "Correto", "Divergente")</f>
        <v/>
      </c>
    </row>
    <row r="178">
      <c r="A178" s="2" t="n">
        <v>177</v>
      </c>
      <c r="B178" s="2" t="n">
        <v>78</v>
      </c>
      <c r="C178" s="3" t="inlineStr">
        <is>
          <t>Repetidor Wi-Fi 1200Mbps (Modelo 4)</t>
        </is>
      </c>
      <c r="D178" s="3" t="inlineStr">
        <is>
          <t>Redes</t>
        </is>
      </c>
      <c r="E178" s="4" t="inlineStr">
        <is>
          <t>2026-02-13</t>
        </is>
      </c>
      <c r="F178" s="5" t="n">
        <v>2160</v>
      </c>
      <c r="G178" s="5" t="n">
        <v>2160</v>
      </c>
      <c r="H178" s="5">
        <f>G178-F178</f>
        <v/>
      </c>
      <c r="I178" s="6">
        <f>H178/F178</f>
        <v/>
      </c>
      <c r="J178" s="3" t="inlineStr">
        <is>
          <t>Patricia Prado</t>
        </is>
      </c>
      <c r="K178" s="7" t="inlineStr">
        <is>
          <t>B01</t>
        </is>
      </c>
      <c r="L178" s="7">
        <f>IF(H178=0, "Correto", "Divergente")</f>
        <v/>
      </c>
    </row>
    <row r="179">
      <c r="A179" s="8" t="n">
        <v>178</v>
      </c>
      <c r="B179" s="8" t="n">
        <v>45</v>
      </c>
      <c r="C179" s="9" t="inlineStr">
        <is>
          <t>Caixa de Som USB 10W (Modelo 1)</t>
        </is>
      </c>
      <c r="D179" s="9" t="inlineStr">
        <is>
          <t>Áudio</t>
        </is>
      </c>
      <c r="E179" s="10" t="inlineStr">
        <is>
          <t>2026-11-07</t>
        </is>
      </c>
      <c r="F179" s="11" t="n">
        <v>2475</v>
      </c>
      <c r="G179" s="11" t="n">
        <v>2475</v>
      </c>
      <c r="H179" s="11">
        <f>G179-F179</f>
        <v/>
      </c>
      <c r="I179" s="12">
        <f>H179/F179</f>
        <v/>
      </c>
      <c r="J179" s="9" t="inlineStr">
        <is>
          <t>Camila Azevedo</t>
        </is>
      </c>
      <c r="K179" s="13" t="inlineStr">
        <is>
          <t>B01</t>
        </is>
      </c>
      <c r="L179" s="13">
        <f>IF(H179=0, "Correto", "Divergente")</f>
        <v/>
      </c>
    </row>
    <row r="180">
      <c r="A180" s="2" t="n">
        <v>179</v>
      </c>
      <c r="B180" s="2" t="n">
        <v>77</v>
      </c>
      <c r="C180" s="3" t="inlineStr">
        <is>
          <t>Capa Protetora para Tablet (Modelo 3)</t>
        </is>
      </c>
      <c r="D180" s="3" t="inlineStr">
        <is>
          <t>Smartphones</t>
        </is>
      </c>
      <c r="E180" s="4" t="inlineStr">
        <is>
          <t>2024-12-13</t>
        </is>
      </c>
      <c r="F180" s="5" t="n">
        <v>3527</v>
      </c>
      <c r="G180" s="5" t="n">
        <v>3527</v>
      </c>
      <c r="H180" s="5">
        <f>G180-F180</f>
        <v/>
      </c>
      <c r="I180" s="6">
        <f>H180/F180</f>
        <v/>
      </c>
      <c r="J180" s="3" t="inlineStr">
        <is>
          <t>Roberto Fernandes</t>
        </is>
      </c>
      <c r="K180" s="7" t="inlineStr">
        <is>
          <t>C02</t>
        </is>
      </c>
      <c r="L180" s="7">
        <f>IF(H180=0, "Correto", "Divergente")</f>
        <v/>
      </c>
    </row>
    <row r="181">
      <c r="A181" s="8" t="n">
        <v>180</v>
      </c>
      <c r="B181" s="8" t="n">
        <v>97</v>
      </c>
      <c r="C181" s="9" t="inlineStr">
        <is>
          <t>Smartphone Empresarial 128GB (Modelo 8)</t>
        </is>
      </c>
      <c r="D181" s="9" t="inlineStr">
        <is>
          <t>Smartphones</t>
        </is>
      </c>
      <c r="E181" s="10" t="inlineStr">
        <is>
          <t>2026-10-14</t>
        </is>
      </c>
      <c r="F181" s="11" t="n">
        <v>485</v>
      </c>
      <c r="G181" s="11" t="n">
        <v>485</v>
      </c>
      <c r="H181" s="11">
        <f>G181-F181</f>
        <v/>
      </c>
      <c r="I181" s="12">
        <f>H181/F181</f>
        <v/>
      </c>
      <c r="J181" s="9" t="inlineStr">
        <is>
          <t>Carlos Eduardo Rocha</t>
        </is>
      </c>
      <c r="K181" s="13" t="inlineStr">
        <is>
          <t>Depósito Externo</t>
        </is>
      </c>
      <c r="L181" s="13">
        <f>IF(H181=0, "Correto", "Divergente")</f>
        <v/>
      </c>
    </row>
    <row r="182">
      <c r="A182" s="2" t="n">
        <v>181</v>
      </c>
      <c r="B182" s="2" t="n">
        <v>132</v>
      </c>
      <c r="C182" s="3" t="inlineStr">
        <is>
          <t>Webcam Full HD 1080p (Modelo 13)</t>
        </is>
      </c>
      <c r="D182" s="3" t="inlineStr">
        <is>
          <t>Periféricos</t>
        </is>
      </c>
      <c r="E182" s="4" t="inlineStr">
        <is>
          <t>2025-11-22</t>
        </is>
      </c>
      <c r="F182" s="5" t="n">
        <v>4603</v>
      </c>
      <c r="G182" s="5" t="n">
        <v>4603</v>
      </c>
      <c r="H182" s="5">
        <f>G182-F182</f>
        <v/>
      </c>
      <c r="I182" s="6">
        <f>H182/F182</f>
        <v/>
      </c>
      <c r="J182" s="3" t="inlineStr">
        <is>
          <t>Gustavo Silveira</t>
        </is>
      </c>
      <c r="K182" s="7" t="inlineStr">
        <is>
          <t>B01</t>
        </is>
      </c>
      <c r="L182" s="7">
        <f>IF(H182=0, "Correto", "Divergente")</f>
        <v/>
      </c>
    </row>
    <row r="183">
      <c r="A183" s="8" t="n">
        <v>182</v>
      </c>
      <c r="B183" s="8" t="n">
        <v>177</v>
      </c>
      <c r="C183" s="9" t="inlineStr">
        <is>
          <t>Tablet 10.1" Wi-Fi 64GB (Modelo 13)</t>
        </is>
      </c>
      <c r="D183" s="9" t="inlineStr">
        <is>
          <t>Smartphones</t>
        </is>
      </c>
      <c r="E183" s="10" t="inlineStr">
        <is>
          <t>2026-12-31</t>
        </is>
      </c>
      <c r="F183" s="11" t="n">
        <v>4186</v>
      </c>
      <c r="G183" s="11" t="n">
        <v>4186</v>
      </c>
      <c r="H183" s="11">
        <f>G183-F183</f>
        <v/>
      </c>
      <c r="I183" s="12">
        <f>H183/F183</f>
        <v/>
      </c>
      <c r="J183" s="9" t="inlineStr">
        <is>
          <t>Camila Azevedo</t>
        </is>
      </c>
      <c r="K183" s="13" t="inlineStr">
        <is>
          <t>C03</t>
        </is>
      </c>
      <c r="L183" s="13">
        <f>IF(H183=0, "Correto", "Divergente")</f>
        <v/>
      </c>
    </row>
    <row r="184">
      <c r="A184" s="2" t="n">
        <v>183</v>
      </c>
      <c r="B184" s="2" t="n">
        <v>90</v>
      </c>
      <c r="C184" s="3" t="inlineStr">
        <is>
          <t>Cooler para Processador 120mm (Modelo 1)</t>
        </is>
      </c>
      <c r="D184" s="3" t="inlineStr">
        <is>
          <t>Componentes</t>
        </is>
      </c>
      <c r="E184" s="4" t="inlineStr">
        <is>
          <t>2025-12-19</t>
        </is>
      </c>
      <c r="F184" s="5" t="n">
        <v>3192</v>
      </c>
      <c r="G184" s="5" t="n">
        <v>3192</v>
      </c>
      <c r="H184" s="5">
        <f>G184-F184</f>
        <v/>
      </c>
      <c r="I184" s="6">
        <f>H184/F184</f>
        <v/>
      </c>
      <c r="J184" s="3" t="inlineStr">
        <is>
          <t>Carlos Eduardo Rocha</t>
        </is>
      </c>
      <c r="K184" s="7" t="inlineStr">
        <is>
          <t>C01</t>
        </is>
      </c>
      <c r="L184" s="7">
        <f>IF(H184=0, "Correto", "Divergente")</f>
        <v/>
      </c>
    </row>
    <row r="185">
      <c r="A185" s="8" t="n">
        <v>184</v>
      </c>
      <c r="B185" s="8" t="n">
        <v>135</v>
      </c>
      <c r="C185" s="9" t="inlineStr">
        <is>
          <t>Caixa de Som USB 10W (Modelo 1)</t>
        </is>
      </c>
      <c r="D185" s="9" t="inlineStr">
        <is>
          <t>Áudio</t>
        </is>
      </c>
      <c r="E185" s="10" t="inlineStr">
        <is>
          <t>2026-05-29</t>
        </is>
      </c>
      <c r="F185" s="11" t="n">
        <v>3174</v>
      </c>
      <c r="G185" s="11" t="n">
        <v>3174</v>
      </c>
      <c r="H185" s="11">
        <f>G185-F185</f>
        <v/>
      </c>
      <c r="I185" s="12">
        <f>H185/F185</f>
        <v/>
      </c>
      <c r="J185" s="9" t="inlineStr">
        <is>
          <t>Beatriz Castilho</t>
        </is>
      </c>
      <c r="K185" s="13" t="inlineStr">
        <is>
          <t>B01</t>
        </is>
      </c>
      <c r="L185" s="13">
        <f>IF(H185=0, "Correto", "Divergente")</f>
        <v/>
      </c>
    </row>
    <row r="186">
      <c r="A186" s="2" t="n">
        <v>185</v>
      </c>
      <c r="B186" s="2" t="n">
        <v>144</v>
      </c>
      <c r="C186" s="3" t="inlineStr">
        <is>
          <t>Cartucho Colorido Premium (Modelo 10)</t>
        </is>
      </c>
      <c r="D186" s="3" t="inlineStr">
        <is>
          <t>Impressão</t>
        </is>
      </c>
      <c r="E186" s="4" t="inlineStr">
        <is>
          <t>2026-02-12</t>
        </is>
      </c>
      <c r="F186" s="5" t="n">
        <v>2919</v>
      </c>
      <c r="G186" s="5" t="n">
        <v>2788</v>
      </c>
      <c r="H186" s="5">
        <f>G186-F186</f>
        <v/>
      </c>
      <c r="I186" s="6">
        <f>H186/F186</f>
        <v/>
      </c>
      <c r="J186" s="3" t="inlineStr">
        <is>
          <t>Mariana Alcantara</t>
        </is>
      </c>
      <c r="K186" s="7" t="inlineStr">
        <is>
          <t>B01</t>
        </is>
      </c>
      <c r="L186" s="7">
        <f>IF(H186=0, "Correto", "Divergente")</f>
        <v/>
      </c>
    </row>
    <row r="187">
      <c r="A187" s="8" t="n">
        <v>186</v>
      </c>
      <c r="B187" s="8" t="n">
        <v>56</v>
      </c>
      <c r="C187" s="9" t="inlineStr">
        <is>
          <t>SSD NVMe 1TB M.2 (Modelo 12)</t>
        </is>
      </c>
      <c r="D187" s="9" t="inlineStr">
        <is>
          <t>Armazenamento</t>
        </is>
      </c>
      <c r="E187" s="10" t="inlineStr">
        <is>
          <t>2024-12-24</t>
        </is>
      </c>
      <c r="F187" s="11" t="n">
        <v>4019</v>
      </c>
      <c r="G187" s="11" t="n">
        <v>4019</v>
      </c>
      <c r="H187" s="11">
        <f>G187-F187</f>
        <v/>
      </c>
      <c r="I187" s="12">
        <f>H187/F187</f>
        <v/>
      </c>
      <c r="J187" s="9" t="inlineStr">
        <is>
          <t>Patricia Prado</t>
        </is>
      </c>
      <c r="K187" s="13" t="inlineStr">
        <is>
          <t>A03</t>
        </is>
      </c>
      <c r="L187" s="13">
        <f>IF(H187=0, "Correto", "Divergente")</f>
        <v/>
      </c>
    </row>
    <row r="188">
      <c r="A188" s="2" t="n">
        <v>187</v>
      </c>
      <c r="B188" s="2" t="n">
        <v>112</v>
      </c>
      <c r="C188" s="3" t="inlineStr">
        <is>
          <t>Mesa Digitalizadora (Modelo 8)</t>
        </is>
      </c>
      <c r="D188" s="3" t="inlineStr">
        <is>
          <t>Periféricos</t>
        </is>
      </c>
      <c r="E188" s="4" t="inlineStr">
        <is>
          <t>2026-11-16</t>
        </is>
      </c>
      <c r="F188" s="5" t="n">
        <v>1553</v>
      </c>
      <c r="G188" s="5" t="n">
        <v>1553</v>
      </c>
      <c r="H188" s="5">
        <f>G188-F188</f>
        <v/>
      </c>
      <c r="I188" s="6">
        <f>H188/F188</f>
        <v/>
      </c>
      <c r="J188" s="3" t="inlineStr">
        <is>
          <t>Marcelo Fontes</t>
        </is>
      </c>
      <c r="K188" s="7" t="inlineStr">
        <is>
          <t>A02</t>
        </is>
      </c>
      <c r="L188" s="7">
        <f>IF(H188=0, "Correto", "Divergente")</f>
        <v/>
      </c>
    </row>
    <row r="189">
      <c r="A189" s="8" t="n">
        <v>188</v>
      </c>
      <c r="B189" s="8" t="n">
        <v>26</v>
      </c>
      <c r="C189" s="9" t="inlineStr">
        <is>
          <t>SSD NVMe 1TB M.2 (Modelo 12)</t>
        </is>
      </c>
      <c r="D189" s="9" t="inlineStr">
        <is>
          <t>Armazenamento</t>
        </is>
      </c>
      <c r="E189" s="10" t="inlineStr">
        <is>
          <t>2024-08-27</t>
        </is>
      </c>
      <c r="F189" s="11" t="n">
        <v>1781</v>
      </c>
      <c r="G189" s="11" t="n">
        <v>1781</v>
      </c>
      <c r="H189" s="11">
        <f>G189-F189</f>
        <v/>
      </c>
      <c r="I189" s="12">
        <f>H189/F189</f>
        <v/>
      </c>
      <c r="J189" s="9" t="inlineStr">
        <is>
          <t>Patricia Prado</t>
        </is>
      </c>
      <c r="K189" s="13" t="inlineStr">
        <is>
          <t>Depósito Externo</t>
        </is>
      </c>
      <c r="L189" s="13">
        <f>IF(H189=0, "Correto", "Divergente")</f>
        <v/>
      </c>
    </row>
    <row r="190">
      <c r="A190" s="2" t="n">
        <v>189</v>
      </c>
      <c r="B190" s="2" t="n">
        <v>89</v>
      </c>
      <c r="C190" s="3" t="inlineStr">
        <is>
          <t>Hub USB-C 7 em 1 (Modelo 15)</t>
        </is>
      </c>
      <c r="D190" s="3" t="inlineStr">
        <is>
          <t>Acessórios</t>
        </is>
      </c>
      <c r="E190" s="4" t="inlineStr">
        <is>
          <t>2026-11-22</t>
        </is>
      </c>
      <c r="F190" s="5" t="n">
        <v>807</v>
      </c>
      <c r="G190" s="5" t="n">
        <v>807</v>
      </c>
      <c r="H190" s="5">
        <f>G190-F190</f>
        <v/>
      </c>
      <c r="I190" s="6">
        <f>H190/F190</f>
        <v/>
      </c>
      <c r="J190" s="3" t="inlineStr">
        <is>
          <t>Beatriz Castilho</t>
        </is>
      </c>
      <c r="K190" s="7" t="inlineStr">
        <is>
          <t>B02</t>
        </is>
      </c>
      <c r="L190" s="7">
        <f>IF(H190=0, "Correto", "Divergente")</f>
        <v/>
      </c>
    </row>
    <row r="191">
      <c r="A191" s="8" t="n">
        <v>190</v>
      </c>
      <c r="B191" s="8" t="n">
        <v>1</v>
      </c>
      <c r="C191" s="9" t="inlineStr">
        <is>
          <t>Notebook Corporate i5 16GB (Modelo 2)</t>
        </is>
      </c>
      <c r="D191" s="9" t="inlineStr">
        <is>
          <t>Informática</t>
        </is>
      </c>
      <c r="E191" s="10" t="inlineStr">
        <is>
          <t>2024-07-17</t>
        </is>
      </c>
      <c r="F191" s="11" t="n">
        <v>544</v>
      </c>
      <c r="G191" s="11" t="n">
        <v>559</v>
      </c>
      <c r="H191" s="11">
        <f>G191-F191</f>
        <v/>
      </c>
      <c r="I191" s="12">
        <f>H191/F191</f>
        <v/>
      </c>
      <c r="J191" s="9" t="inlineStr">
        <is>
          <t>Roberto Fernandes</t>
        </is>
      </c>
      <c r="K191" s="13" t="inlineStr">
        <is>
          <t>C02</t>
        </is>
      </c>
      <c r="L191" s="13">
        <f>IF(H191=0, "Correto", "Divergente")</f>
        <v/>
      </c>
    </row>
    <row r="192">
      <c r="A192" s="2" t="n">
        <v>191</v>
      </c>
      <c r="B192" s="2" t="n">
        <v>161</v>
      </c>
      <c r="C192" s="3" t="inlineStr">
        <is>
          <t>Notebook Corporate i5 16GB (Modelo 12)</t>
        </is>
      </c>
      <c r="D192" s="3" t="inlineStr">
        <is>
          <t>Informática</t>
        </is>
      </c>
      <c r="E192" s="4" t="inlineStr">
        <is>
          <t>2026-04-27</t>
        </is>
      </c>
      <c r="F192" s="5" t="n">
        <v>816</v>
      </c>
      <c r="G192" s="5" t="n">
        <v>816</v>
      </c>
      <c r="H192" s="5">
        <f>G192-F192</f>
        <v/>
      </c>
      <c r="I192" s="6">
        <f>H192/F192</f>
        <v/>
      </c>
      <c r="J192" s="3" t="inlineStr">
        <is>
          <t>Fernanda Vasconcelos</t>
        </is>
      </c>
      <c r="K192" s="7" t="inlineStr">
        <is>
          <t>C03</t>
        </is>
      </c>
      <c r="L192" s="7">
        <f>IF(H192=0, "Correto", "Divergente")</f>
        <v/>
      </c>
    </row>
    <row r="193">
      <c r="A193" s="8" t="n">
        <v>192</v>
      </c>
      <c r="B193" s="8" t="n">
        <v>125</v>
      </c>
      <c r="C193" s="9" t="inlineStr">
        <is>
          <t>Caixa de Som Bluetooth Portátil (Modelo 6)</t>
        </is>
      </c>
      <c r="D193" s="9" t="inlineStr">
        <is>
          <t>Áudio</t>
        </is>
      </c>
      <c r="E193" s="10" t="inlineStr">
        <is>
          <t>2025-11-29</t>
        </is>
      </c>
      <c r="F193" s="11" t="n">
        <v>4870</v>
      </c>
      <c r="G193" s="11" t="n">
        <v>4870</v>
      </c>
      <c r="H193" s="11">
        <f>G193-F193</f>
        <v/>
      </c>
      <c r="I193" s="12">
        <f>H193/F193</f>
        <v/>
      </c>
      <c r="J193" s="9" t="inlineStr">
        <is>
          <t>Mariana Alcantara</t>
        </is>
      </c>
      <c r="K193" s="13" t="inlineStr">
        <is>
          <t>B03</t>
        </is>
      </c>
      <c r="L193" s="13">
        <f>IF(H193=0, "Correto", "Divergente")</f>
        <v/>
      </c>
    </row>
    <row r="194">
      <c r="A194" s="2" t="n">
        <v>193</v>
      </c>
      <c r="B194" s="2" t="n">
        <v>61</v>
      </c>
      <c r="C194" s="3" t="inlineStr">
        <is>
          <t>Mini PC Ryzen 5 (Modelo 2)</t>
        </is>
      </c>
      <c r="D194" s="3" t="inlineStr">
        <is>
          <t>Informática</t>
        </is>
      </c>
      <c r="E194" s="4" t="inlineStr">
        <is>
          <t>2024-11-01</t>
        </is>
      </c>
      <c r="F194" s="5" t="n">
        <v>3633</v>
      </c>
      <c r="G194" s="5" t="n">
        <v>3633</v>
      </c>
      <c r="H194" s="5">
        <f>G194-F194</f>
        <v/>
      </c>
      <c r="I194" s="6">
        <f>H194/F194</f>
        <v/>
      </c>
      <c r="J194" s="3" t="inlineStr">
        <is>
          <t>Mariana Alcantara</t>
        </is>
      </c>
      <c r="K194" s="7" t="inlineStr">
        <is>
          <t>C03</t>
        </is>
      </c>
      <c r="L194" s="7">
        <f>IF(H194=0, "Correto", "Divergente")</f>
        <v/>
      </c>
    </row>
    <row r="195">
      <c r="A195" s="8" t="n">
        <v>194</v>
      </c>
      <c r="B195" s="8" t="n">
        <v>109</v>
      </c>
      <c r="C195" s="9" t="inlineStr">
        <is>
          <t>Nobreak 1200VA Bivolt (Modelo 5)</t>
        </is>
      </c>
      <c r="D195" s="9" t="inlineStr">
        <is>
          <t>Acessórios</t>
        </is>
      </c>
      <c r="E195" s="10" t="inlineStr">
        <is>
          <t>2024-09-25</t>
        </is>
      </c>
      <c r="F195" s="11" t="n">
        <v>747</v>
      </c>
      <c r="G195" s="11" t="n">
        <v>747</v>
      </c>
      <c r="H195" s="11">
        <f>G195-F195</f>
        <v/>
      </c>
      <c r="I195" s="12">
        <f>H195/F195</f>
        <v/>
      </c>
      <c r="J195" s="9" t="inlineStr">
        <is>
          <t>Patricia Prado</t>
        </is>
      </c>
      <c r="K195" s="13" t="inlineStr">
        <is>
          <t>C01</t>
        </is>
      </c>
      <c r="L195" s="13">
        <f>IF(H195=0, "Correto", "Divergente")</f>
        <v/>
      </c>
    </row>
    <row r="196">
      <c r="A196" s="2" t="n">
        <v>195</v>
      </c>
      <c r="B196" s="2" t="n">
        <v>17</v>
      </c>
      <c r="C196" s="3" t="inlineStr">
        <is>
          <t>Capa Protetora para Tablet (Modelo 3)</t>
        </is>
      </c>
      <c r="D196" s="3" t="inlineStr">
        <is>
          <t>Smartphones</t>
        </is>
      </c>
      <c r="E196" s="4" t="inlineStr">
        <is>
          <t>2026-06-23</t>
        </is>
      </c>
      <c r="F196" s="5" t="n">
        <v>4079</v>
      </c>
      <c r="G196" s="5" t="n">
        <v>4079</v>
      </c>
      <c r="H196" s="5">
        <f>G196-F196</f>
        <v/>
      </c>
      <c r="I196" s="6">
        <f>H196/F196</f>
        <v/>
      </c>
      <c r="J196" s="3" t="inlineStr">
        <is>
          <t>Patricia Prado</t>
        </is>
      </c>
      <c r="K196" s="7" t="inlineStr">
        <is>
          <t>B03</t>
        </is>
      </c>
      <c r="L196" s="7">
        <f>IF(H196=0, "Correto", "Divergente")</f>
        <v/>
      </c>
    </row>
    <row r="197">
      <c r="A197" s="8" t="n">
        <v>196</v>
      </c>
      <c r="B197" s="8" t="n">
        <v>192</v>
      </c>
      <c r="C197" s="9" t="inlineStr">
        <is>
          <t>Mouse Óptico USB (Modelo 13)</t>
        </is>
      </c>
      <c r="D197" s="9" t="inlineStr">
        <is>
          <t>Periféricos</t>
        </is>
      </c>
      <c r="E197" s="10" t="inlineStr">
        <is>
          <t>2024-07-20</t>
        </is>
      </c>
      <c r="F197" s="11" t="n">
        <v>386</v>
      </c>
      <c r="G197" s="11" t="n">
        <v>386</v>
      </c>
      <c r="H197" s="11">
        <f>G197-F197</f>
        <v/>
      </c>
      <c r="I197" s="12">
        <f>H197/F197</f>
        <v/>
      </c>
      <c r="J197" s="9" t="inlineStr">
        <is>
          <t>Gustavo Silveira</t>
        </is>
      </c>
      <c r="K197" s="13" t="inlineStr">
        <is>
          <t>A02</t>
        </is>
      </c>
      <c r="L197" s="13">
        <f>IF(H197=0, "Correto", "Divergente")</f>
        <v/>
      </c>
    </row>
    <row r="198">
      <c r="A198" s="2" t="n">
        <v>197</v>
      </c>
      <c r="B198" s="2" t="n">
        <v>66</v>
      </c>
      <c r="C198" s="3" t="inlineStr">
        <is>
          <t>Cartão de Memória MicroSD 128GB (Modelo 7)</t>
        </is>
      </c>
      <c r="D198" s="3" t="inlineStr">
        <is>
          <t>Armazenamento</t>
        </is>
      </c>
      <c r="E198" s="4" t="inlineStr">
        <is>
          <t>2026-12-09</t>
        </is>
      </c>
      <c r="F198" s="5" t="n">
        <v>2033</v>
      </c>
      <c r="G198" s="5" t="n">
        <v>2033</v>
      </c>
      <c r="H198" s="5">
        <f>G198-F198</f>
        <v/>
      </c>
      <c r="I198" s="6">
        <f>H198/F198</f>
        <v/>
      </c>
      <c r="J198" s="3" t="inlineStr">
        <is>
          <t>Beatriz Castilho</t>
        </is>
      </c>
      <c r="K198" s="7" t="inlineStr">
        <is>
          <t>A03</t>
        </is>
      </c>
      <c r="L198" s="7">
        <f>IF(H198=0, "Correto", "Divergente")</f>
        <v/>
      </c>
    </row>
    <row r="199">
      <c r="A199" s="8" t="n">
        <v>198</v>
      </c>
      <c r="B199" s="8" t="n">
        <v>3</v>
      </c>
      <c r="C199" s="9" t="inlineStr">
        <is>
          <t>Monitor 27" Curvo 144Hz (Modelo 4)</t>
        </is>
      </c>
      <c r="D199" s="9" t="inlineStr">
        <is>
          <t>Monitores</t>
        </is>
      </c>
      <c r="E199" s="10" t="inlineStr">
        <is>
          <t>2024-10-17</t>
        </is>
      </c>
      <c r="F199" s="11" t="n">
        <v>4936</v>
      </c>
      <c r="G199" s="11" t="n">
        <v>4936</v>
      </c>
      <c r="H199" s="11">
        <f>G199-F199</f>
        <v/>
      </c>
      <c r="I199" s="12">
        <f>H199/F199</f>
        <v/>
      </c>
      <c r="J199" s="9" t="inlineStr">
        <is>
          <t>Ricardo Mendes</t>
        </is>
      </c>
      <c r="K199" s="13" t="inlineStr">
        <is>
          <t>B02</t>
        </is>
      </c>
      <c r="L199" s="13">
        <f>IF(H199=0, "Correto", "Divergente")</f>
        <v/>
      </c>
    </row>
    <row r="200">
      <c r="A200" s="2" t="n">
        <v>199</v>
      </c>
      <c r="B200" s="2" t="n">
        <v>199</v>
      </c>
      <c r="C200" s="3" t="inlineStr">
        <is>
          <t>Filtro de Linha 6 Tomadas (Modelo 5)</t>
        </is>
      </c>
      <c r="D200" s="3" t="inlineStr">
        <is>
          <t>Acessórios</t>
        </is>
      </c>
      <c r="E200" s="4" t="inlineStr">
        <is>
          <t>2026-06-09</t>
        </is>
      </c>
      <c r="F200" s="5" t="n">
        <v>839</v>
      </c>
      <c r="G200" s="5" t="n">
        <v>839</v>
      </c>
      <c r="H200" s="5">
        <f>G200-F200</f>
        <v/>
      </c>
      <c r="I200" s="6">
        <f>H200/F200</f>
        <v/>
      </c>
      <c r="J200" s="3" t="inlineStr">
        <is>
          <t>Beatriz Castilho</t>
        </is>
      </c>
      <c r="K200" s="7" t="inlineStr">
        <is>
          <t>A02</t>
        </is>
      </c>
      <c r="L200" s="7">
        <f>IF(H200=0, "Correto", "Divergente")</f>
        <v/>
      </c>
    </row>
    <row r="201">
      <c r="A201" s="8" t="n">
        <v>200</v>
      </c>
      <c r="B201" s="8" t="n">
        <v>106</v>
      </c>
      <c r="C201" s="9" t="inlineStr">
        <is>
          <t>HD Externo Portátil 2TB (Modelo 2)</t>
        </is>
      </c>
      <c r="D201" s="9" t="inlineStr">
        <is>
          <t>Armazenamento</t>
        </is>
      </c>
      <c r="E201" s="10" t="inlineStr">
        <is>
          <t>2024-06-18</t>
        </is>
      </c>
      <c r="F201" s="11" t="n">
        <v>4734</v>
      </c>
      <c r="G201" s="11" t="n">
        <v>4633</v>
      </c>
      <c r="H201" s="11">
        <f>G201-F201</f>
        <v/>
      </c>
      <c r="I201" s="12">
        <f>H201/F201</f>
        <v/>
      </c>
      <c r="J201" s="9" t="inlineStr">
        <is>
          <t>Beatriz Castilho</t>
        </is>
      </c>
      <c r="K201" s="13" t="inlineStr">
        <is>
          <t>C01</t>
        </is>
      </c>
      <c r="L201" s="13">
        <f>IF(H201=0, "Correto", "Divergente")</f>
        <v/>
      </c>
    </row>
    <row r="202">
      <c r="A202" s="2" t="n">
        <v>201</v>
      </c>
      <c r="B202" s="2" t="n">
        <v>158</v>
      </c>
      <c r="C202" s="3" t="inlineStr">
        <is>
          <t>Switch Gigabit 16 Portas (Modelo 9)</t>
        </is>
      </c>
      <c r="D202" s="3" t="inlineStr">
        <is>
          <t>Redes</t>
        </is>
      </c>
      <c r="E202" s="4" t="inlineStr">
        <is>
          <t>2025-09-28</t>
        </is>
      </c>
      <c r="F202" s="5" t="n">
        <v>1917</v>
      </c>
      <c r="G202" s="5" t="n">
        <v>1917</v>
      </c>
      <c r="H202" s="5">
        <f>G202-F202</f>
        <v/>
      </c>
      <c r="I202" s="6">
        <f>H202/F202</f>
        <v/>
      </c>
      <c r="J202" s="3" t="inlineStr">
        <is>
          <t>Camila Azevedo</t>
        </is>
      </c>
      <c r="K202" s="7" t="inlineStr">
        <is>
          <t>C03</t>
        </is>
      </c>
      <c r="L202" s="7">
        <f>IF(H202=0, "Correto", "Divergente")</f>
        <v/>
      </c>
    </row>
    <row r="203">
      <c r="A203" s="8" t="n">
        <v>202</v>
      </c>
      <c r="B203" s="8" t="n">
        <v>47</v>
      </c>
      <c r="C203" s="9" t="inlineStr">
        <is>
          <t>Capa Protetora para Tablet (Modelo 3)</t>
        </is>
      </c>
      <c r="D203" s="9" t="inlineStr">
        <is>
          <t>Smartphones</t>
        </is>
      </c>
      <c r="E203" s="10" t="inlineStr">
        <is>
          <t>2026-12-16</t>
        </is>
      </c>
      <c r="F203" s="11" t="n">
        <v>3433</v>
      </c>
      <c r="G203" s="11" t="n">
        <v>3433</v>
      </c>
      <c r="H203" s="11">
        <f>G203-F203</f>
        <v/>
      </c>
      <c r="I203" s="12">
        <f>H203/F203</f>
        <v/>
      </c>
      <c r="J203" s="9" t="inlineStr">
        <is>
          <t>Marcelo Fontes</t>
        </is>
      </c>
      <c r="K203" s="13" t="inlineStr">
        <is>
          <t>Depósito Externo</t>
        </is>
      </c>
      <c r="L203" s="13">
        <f>IF(H203=0, "Correto", "Divergente")</f>
        <v/>
      </c>
    </row>
    <row r="204">
      <c r="A204" s="2" t="n">
        <v>203</v>
      </c>
      <c r="B204" s="2" t="n">
        <v>65</v>
      </c>
      <c r="C204" s="3" t="inlineStr">
        <is>
          <t>Caixa de Som Bluetooth Portátil (Modelo 6)</t>
        </is>
      </c>
      <c r="D204" s="3" t="inlineStr">
        <is>
          <t>Áudio</t>
        </is>
      </c>
      <c r="E204" s="4" t="inlineStr">
        <is>
          <t>2026-12-15</t>
        </is>
      </c>
      <c r="F204" s="5" t="n">
        <v>3770</v>
      </c>
      <c r="G204" s="5" t="n">
        <v>3770</v>
      </c>
      <c r="H204" s="5">
        <f>G204-F204</f>
        <v/>
      </c>
      <c r="I204" s="6">
        <f>H204/F204</f>
        <v/>
      </c>
      <c r="J204" s="3" t="inlineStr">
        <is>
          <t>Ricardo Mendes</t>
        </is>
      </c>
      <c r="K204" s="7" t="inlineStr">
        <is>
          <t>B01</t>
        </is>
      </c>
      <c r="L204" s="7">
        <f>IF(H204=0, "Correto", "Divergente")</f>
        <v/>
      </c>
    </row>
    <row r="205">
      <c r="A205" s="8" t="n">
        <v>204</v>
      </c>
      <c r="B205" s="8" t="n">
        <v>182</v>
      </c>
      <c r="C205" s="9" t="inlineStr">
        <is>
          <t>Mesa Digitalizadora (Modelo 3)</t>
        </is>
      </c>
      <c r="D205" s="9" t="inlineStr">
        <is>
          <t>Periféricos</t>
        </is>
      </c>
      <c r="E205" s="10" t="inlineStr">
        <is>
          <t>2026-06-23</t>
        </is>
      </c>
      <c r="F205" s="11" t="n">
        <v>1336</v>
      </c>
      <c r="G205" s="11" t="n">
        <v>1336</v>
      </c>
      <c r="H205" s="11">
        <f>G205-F205</f>
        <v/>
      </c>
      <c r="I205" s="12">
        <f>H205/F205</f>
        <v/>
      </c>
      <c r="J205" s="9" t="inlineStr">
        <is>
          <t>Marcelo Fontes</t>
        </is>
      </c>
      <c r="K205" s="13" t="inlineStr">
        <is>
          <t>B02</t>
        </is>
      </c>
      <c r="L205" s="13">
        <f>IF(H205=0, "Correto", "Divergente")</f>
        <v/>
      </c>
    </row>
    <row r="206">
      <c r="A206" s="2" t="n">
        <v>205</v>
      </c>
      <c r="B206" s="2" t="n">
        <v>68</v>
      </c>
      <c r="C206" s="3" t="inlineStr">
        <is>
          <t>Switch Gigabit 16 Portas (Modelo 9)</t>
        </is>
      </c>
      <c r="D206" s="3" t="inlineStr">
        <is>
          <t>Redes</t>
        </is>
      </c>
      <c r="E206" s="4" t="inlineStr">
        <is>
          <t>2025-09-29</t>
        </is>
      </c>
      <c r="F206" s="5" t="n">
        <v>904</v>
      </c>
      <c r="G206" s="5" t="n">
        <v>890</v>
      </c>
      <c r="H206" s="5">
        <f>G206-F206</f>
        <v/>
      </c>
      <c r="I206" s="6">
        <f>H206/F206</f>
        <v/>
      </c>
      <c r="J206" s="3" t="inlineStr">
        <is>
          <t>Carlos Eduardo Rocha</t>
        </is>
      </c>
      <c r="K206" s="7" t="inlineStr">
        <is>
          <t>B01</t>
        </is>
      </c>
      <c r="L206" s="7">
        <f>IF(H206=0, "Correto", "Divergente")</f>
        <v/>
      </c>
    </row>
    <row r="207">
      <c r="A207" s="8" t="n">
        <v>206</v>
      </c>
      <c r="B207" s="8" t="n">
        <v>154</v>
      </c>
      <c r="C207" s="9" t="inlineStr">
        <is>
          <t>Toner HP Preto Original (Modelo 5)</t>
        </is>
      </c>
      <c r="D207" s="9" t="inlineStr">
        <is>
          <t>Impressão</t>
        </is>
      </c>
      <c r="E207" s="10" t="inlineStr">
        <is>
          <t>2025-11-22</t>
        </is>
      </c>
      <c r="F207" s="11" t="n">
        <v>2607</v>
      </c>
      <c r="G207" s="11" t="n">
        <v>2607</v>
      </c>
      <c r="H207" s="11">
        <f>G207-F207</f>
        <v/>
      </c>
      <c r="I207" s="12">
        <f>H207/F207</f>
        <v/>
      </c>
      <c r="J207" s="9" t="inlineStr">
        <is>
          <t>Mariana Alcantara</t>
        </is>
      </c>
      <c r="K207" s="13" t="inlineStr">
        <is>
          <t>B03</t>
        </is>
      </c>
      <c r="L207" s="13">
        <f>IF(H207=0, "Correto", "Divergente")</f>
        <v/>
      </c>
    </row>
    <row r="208">
      <c r="A208" s="2" t="n">
        <v>207</v>
      </c>
      <c r="B208" s="2" t="n">
        <v>104</v>
      </c>
      <c r="C208" s="3" t="inlineStr">
        <is>
          <t>Multifuncional Tanque de Tinta (Modelo 15)</t>
        </is>
      </c>
      <c r="D208" s="3" t="inlineStr">
        <is>
          <t>Impressão</t>
        </is>
      </c>
      <c r="E208" s="4" t="inlineStr">
        <is>
          <t>2026-05-18</t>
        </is>
      </c>
      <c r="F208" s="5" t="n">
        <v>3783</v>
      </c>
      <c r="G208" s="5" t="n">
        <v>3783</v>
      </c>
      <c r="H208" s="5">
        <f>G208-F208</f>
        <v/>
      </c>
      <c r="I208" s="6">
        <f>H208/F208</f>
        <v/>
      </c>
      <c r="J208" s="3" t="inlineStr">
        <is>
          <t>Mariana Alcantara</t>
        </is>
      </c>
      <c r="K208" s="7" t="inlineStr">
        <is>
          <t>B03</t>
        </is>
      </c>
      <c r="L208" s="7">
        <f>IF(H208=0, "Correto", "Divergente")</f>
        <v/>
      </c>
    </row>
    <row r="209">
      <c r="A209" s="8" t="n">
        <v>208</v>
      </c>
      <c r="B209" s="8" t="n">
        <v>111</v>
      </c>
      <c r="C209" s="9" t="inlineStr">
        <is>
          <t>Chromebook 11.6" (Modelo 7)</t>
        </is>
      </c>
      <c r="D209" s="9" t="inlineStr">
        <is>
          <t>Informática</t>
        </is>
      </c>
      <c r="E209" s="10" t="inlineStr">
        <is>
          <t>2026-07-16</t>
        </is>
      </c>
      <c r="F209" s="11" t="n">
        <v>4788</v>
      </c>
      <c r="G209" s="11" t="n">
        <v>4788</v>
      </c>
      <c r="H209" s="11">
        <f>G209-F209</f>
        <v/>
      </c>
      <c r="I209" s="12">
        <f>H209/F209</f>
        <v/>
      </c>
      <c r="J209" s="9" t="inlineStr">
        <is>
          <t>Gustavo Silveira</t>
        </is>
      </c>
      <c r="K209" s="13" t="inlineStr">
        <is>
          <t>B03</t>
        </is>
      </c>
      <c r="L209" s="13">
        <f>IF(H209=0, "Correto", "Divergente")</f>
        <v/>
      </c>
    </row>
    <row r="210">
      <c r="A210" s="2" t="n">
        <v>209</v>
      </c>
      <c r="B210" s="2" t="n">
        <v>4</v>
      </c>
      <c r="C210" s="3" t="inlineStr">
        <is>
          <t>Toner HP Preto Original (Modelo 5)</t>
        </is>
      </c>
      <c r="D210" s="3" t="inlineStr">
        <is>
          <t>Impressão</t>
        </is>
      </c>
      <c r="E210" s="4" t="inlineStr">
        <is>
          <t>2025-12-30</t>
        </is>
      </c>
      <c r="F210" s="5" t="n">
        <v>3165</v>
      </c>
      <c r="G210" s="5" t="n">
        <v>3165</v>
      </c>
      <c r="H210" s="5">
        <f>G210-F210</f>
        <v/>
      </c>
      <c r="I210" s="6">
        <f>H210/F210</f>
        <v/>
      </c>
      <c r="J210" s="3" t="inlineStr">
        <is>
          <t>Ricardo Mendes</t>
        </is>
      </c>
      <c r="K210" s="7" t="inlineStr">
        <is>
          <t>C02</t>
        </is>
      </c>
      <c r="L210" s="7">
        <f>IF(H210=0, "Correto", "Divergente")</f>
        <v/>
      </c>
    </row>
    <row r="211">
      <c r="A211" s="8" t="n">
        <v>210</v>
      </c>
      <c r="B211" s="8" t="n">
        <v>3</v>
      </c>
      <c r="C211" s="9" t="inlineStr">
        <is>
          <t>Monitor 27" Curvo 144Hz (Modelo 4)</t>
        </is>
      </c>
      <c r="D211" s="9" t="inlineStr">
        <is>
          <t>Monitores</t>
        </is>
      </c>
      <c r="E211" s="10" t="inlineStr">
        <is>
          <t>2026-01-07</t>
        </is>
      </c>
      <c r="F211" s="11" t="n">
        <v>3387</v>
      </c>
      <c r="G211" s="11" t="n">
        <v>3387</v>
      </c>
      <c r="H211" s="11">
        <f>G211-F211</f>
        <v/>
      </c>
      <c r="I211" s="12">
        <f>H211/F211</f>
        <v/>
      </c>
      <c r="J211" s="9" t="inlineStr">
        <is>
          <t>Camila Azevedo</t>
        </is>
      </c>
      <c r="K211" s="13" t="inlineStr">
        <is>
          <t>A01</t>
        </is>
      </c>
      <c r="L211" s="13">
        <f>IF(H211=0, "Correto", "Divergente")</f>
        <v/>
      </c>
    </row>
    <row r="212">
      <c r="A212" s="2" t="n">
        <v>211</v>
      </c>
      <c r="B212" s="2" t="n">
        <v>182</v>
      </c>
      <c r="C212" s="3" t="inlineStr">
        <is>
          <t>Mesa Digitalizadora (Modelo 3)</t>
        </is>
      </c>
      <c r="D212" s="3" t="inlineStr">
        <is>
          <t>Periféricos</t>
        </is>
      </c>
      <c r="E212" s="4" t="inlineStr">
        <is>
          <t>2025-08-25</t>
        </is>
      </c>
      <c r="F212" s="5" t="n">
        <v>4427</v>
      </c>
      <c r="G212" s="5" t="n">
        <v>3874</v>
      </c>
      <c r="H212" s="5">
        <f>G212-F212</f>
        <v/>
      </c>
      <c r="I212" s="6">
        <f>H212/F212</f>
        <v/>
      </c>
      <c r="J212" s="3" t="inlineStr">
        <is>
          <t>Mariana Alcantara</t>
        </is>
      </c>
      <c r="K212" s="7" t="inlineStr">
        <is>
          <t>B03</t>
        </is>
      </c>
      <c r="L212" s="7">
        <f>IF(H212=0, "Correto", "Divergente")</f>
        <v/>
      </c>
    </row>
    <row r="213">
      <c r="A213" s="8" t="n">
        <v>212</v>
      </c>
      <c r="B213" s="8" t="n">
        <v>111</v>
      </c>
      <c r="C213" s="9" t="inlineStr">
        <is>
          <t>Chromebook 11.6" (Modelo 7)</t>
        </is>
      </c>
      <c r="D213" s="9" t="inlineStr">
        <is>
          <t>Informática</t>
        </is>
      </c>
      <c r="E213" s="10" t="inlineStr">
        <is>
          <t>2025-06-19</t>
        </is>
      </c>
      <c r="F213" s="11" t="n">
        <v>3146</v>
      </c>
      <c r="G213" s="11" t="n">
        <v>3146</v>
      </c>
      <c r="H213" s="11">
        <f>G213-F213</f>
        <v/>
      </c>
      <c r="I213" s="12">
        <f>H213/F213</f>
        <v/>
      </c>
      <c r="J213" s="9" t="inlineStr">
        <is>
          <t>Ricardo Mendes</t>
        </is>
      </c>
      <c r="K213" s="13" t="inlineStr">
        <is>
          <t>A01</t>
        </is>
      </c>
      <c r="L213" s="13">
        <f>IF(H213=0, "Correto", "Divergente")</f>
        <v/>
      </c>
    </row>
    <row r="214">
      <c r="A214" s="2" t="n">
        <v>213</v>
      </c>
      <c r="B214" s="2" t="n">
        <v>53</v>
      </c>
      <c r="C214" s="3" t="inlineStr">
        <is>
          <t>Monitor 4K 32" Profissional (Modelo 9)</t>
        </is>
      </c>
      <c r="D214" s="3" t="inlineStr">
        <is>
          <t>Monitores</t>
        </is>
      </c>
      <c r="E214" s="4" t="inlineStr">
        <is>
          <t>2025-03-23</t>
        </is>
      </c>
      <c r="F214" s="5" t="n">
        <v>473</v>
      </c>
      <c r="G214" s="5" t="n">
        <v>473</v>
      </c>
      <c r="H214" s="5">
        <f>G214-F214</f>
        <v/>
      </c>
      <c r="I214" s="6">
        <f>H214/F214</f>
        <v/>
      </c>
      <c r="J214" s="3" t="inlineStr">
        <is>
          <t>Roberto Fernandes</t>
        </is>
      </c>
      <c r="K214" s="7" t="inlineStr">
        <is>
          <t>A01</t>
        </is>
      </c>
      <c r="L214" s="7">
        <f>IF(H214=0, "Correto", "Divergente")</f>
        <v/>
      </c>
    </row>
    <row r="215">
      <c r="A215" s="8" t="n">
        <v>214</v>
      </c>
      <c r="B215" s="8" t="n">
        <v>182</v>
      </c>
      <c r="C215" s="9" t="inlineStr">
        <is>
          <t>Mesa Digitalizadora (Modelo 3)</t>
        </is>
      </c>
      <c r="D215" s="9" t="inlineStr">
        <is>
          <t>Periféricos</t>
        </is>
      </c>
      <c r="E215" s="10" t="inlineStr">
        <is>
          <t>2026-01-21</t>
        </is>
      </c>
      <c r="F215" s="11" t="n">
        <v>4422</v>
      </c>
      <c r="G215" s="11" t="n">
        <v>4422</v>
      </c>
      <c r="H215" s="11">
        <f>G215-F215</f>
        <v/>
      </c>
      <c r="I215" s="12">
        <f>H215/F215</f>
        <v/>
      </c>
      <c r="J215" s="9" t="inlineStr">
        <is>
          <t>Camila Azevedo</t>
        </is>
      </c>
      <c r="K215" s="13" t="inlineStr">
        <is>
          <t>C03</t>
        </is>
      </c>
      <c r="L215" s="13">
        <f>IF(H215=0, "Correto", "Divergente")</f>
        <v/>
      </c>
    </row>
    <row r="216">
      <c r="A216" s="2" t="n">
        <v>215</v>
      </c>
      <c r="B216" s="2" t="n">
        <v>133</v>
      </c>
      <c r="C216" s="3" t="inlineStr">
        <is>
          <t>Monitor LED 21.5" Full HD (Modelo 14)</t>
        </is>
      </c>
      <c r="D216" s="3" t="inlineStr">
        <is>
          <t>Monitores</t>
        </is>
      </c>
      <c r="E216" s="4" t="inlineStr">
        <is>
          <t>2024-04-21</t>
        </is>
      </c>
      <c r="F216" s="5" t="n">
        <v>2369</v>
      </c>
      <c r="G216" s="5" t="n">
        <v>2369</v>
      </c>
      <c r="H216" s="5">
        <f>G216-F216</f>
        <v/>
      </c>
      <c r="I216" s="6">
        <f>H216/F216</f>
        <v/>
      </c>
      <c r="J216" s="3" t="inlineStr">
        <is>
          <t>Gustavo Silveira</t>
        </is>
      </c>
      <c r="K216" s="7" t="inlineStr">
        <is>
          <t>B01</t>
        </is>
      </c>
      <c r="L216" s="7">
        <f>IF(H216=0, "Correto", "Divergente")</f>
        <v/>
      </c>
    </row>
    <row r="217">
      <c r="A217" s="8" t="n">
        <v>216</v>
      </c>
      <c r="B217" s="8" t="n">
        <v>30</v>
      </c>
      <c r="C217" s="9" t="inlineStr">
        <is>
          <t>Cooler para Processador 120mm (Modelo 1)</t>
        </is>
      </c>
      <c r="D217" s="9" t="inlineStr">
        <is>
          <t>Componentes</t>
        </is>
      </c>
      <c r="E217" s="10" t="inlineStr">
        <is>
          <t>2024-05-16</t>
        </is>
      </c>
      <c r="F217" s="11" t="n">
        <v>860</v>
      </c>
      <c r="G217" s="11" t="n">
        <v>826</v>
      </c>
      <c r="H217" s="11">
        <f>G217-F217</f>
        <v/>
      </c>
      <c r="I217" s="12">
        <f>H217/F217</f>
        <v/>
      </c>
      <c r="J217" s="9" t="inlineStr">
        <is>
          <t>Camila Azevedo</t>
        </is>
      </c>
      <c r="K217" s="13" t="inlineStr">
        <is>
          <t>C01</t>
        </is>
      </c>
      <c r="L217" s="13">
        <f>IF(H217=0, "Correto", "Divergente")</f>
        <v/>
      </c>
    </row>
    <row r="218">
      <c r="A218" s="2" t="n">
        <v>217</v>
      </c>
      <c r="B218" s="2" t="n">
        <v>10</v>
      </c>
      <c r="C218" s="3" t="inlineStr">
        <is>
          <t>Fonte Atx 500W 80 Plus (Modelo 11)</t>
        </is>
      </c>
      <c r="D218" s="3" t="inlineStr">
        <is>
          <t>Componentes</t>
        </is>
      </c>
      <c r="E218" s="4" t="inlineStr">
        <is>
          <t>2024-10-07</t>
        </is>
      </c>
      <c r="F218" s="5" t="n">
        <v>3612</v>
      </c>
      <c r="G218" s="5" t="n">
        <v>3120</v>
      </c>
      <c r="H218" s="5">
        <f>G218-F218</f>
        <v/>
      </c>
      <c r="I218" s="6">
        <f>H218/F218</f>
        <v/>
      </c>
      <c r="J218" s="3" t="inlineStr">
        <is>
          <t>Ricardo Mendes</t>
        </is>
      </c>
      <c r="K218" s="7" t="inlineStr">
        <is>
          <t>C01</t>
        </is>
      </c>
      <c r="L218" s="7">
        <f>IF(H218=0, "Correto", "Divergente")</f>
        <v/>
      </c>
    </row>
    <row r="219">
      <c r="A219" s="8" t="n">
        <v>218</v>
      </c>
      <c r="B219" s="8" t="n">
        <v>95</v>
      </c>
      <c r="C219" s="9" t="inlineStr">
        <is>
          <t>Caixa de Som Bluetooth Portátil (Modelo 6)</t>
        </is>
      </c>
      <c r="D219" s="9" t="inlineStr">
        <is>
          <t>Áudio</t>
        </is>
      </c>
      <c r="E219" s="10" t="inlineStr">
        <is>
          <t>2026-06-22</t>
        </is>
      </c>
      <c r="F219" s="11" t="n">
        <v>1558</v>
      </c>
      <c r="G219" s="11" t="n">
        <v>1537</v>
      </c>
      <c r="H219" s="11">
        <f>G219-F219</f>
        <v/>
      </c>
      <c r="I219" s="12">
        <f>H219/F219</f>
        <v/>
      </c>
      <c r="J219" s="9" t="inlineStr">
        <is>
          <t>Ricardo Mendes</t>
        </is>
      </c>
      <c r="K219" s="13" t="inlineStr">
        <is>
          <t>A03</t>
        </is>
      </c>
      <c r="L219" s="13">
        <f>IF(H219=0, "Correto", "Divergente")</f>
        <v/>
      </c>
    </row>
    <row r="220">
      <c r="A220" s="2" t="n">
        <v>219</v>
      </c>
      <c r="B220" s="2" t="n">
        <v>69</v>
      </c>
      <c r="C220" s="3" t="inlineStr">
        <is>
          <t>Mochila para Notebook 15.6" (Modelo 10)</t>
        </is>
      </c>
      <c r="D220" s="3" t="inlineStr">
        <is>
          <t>Acessórios</t>
        </is>
      </c>
      <c r="E220" s="4" t="inlineStr">
        <is>
          <t>2024-12-03</t>
        </is>
      </c>
      <c r="F220" s="5" t="n">
        <v>4970</v>
      </c>
      <c r="G220" s="5" t="n">
        <v>4970</v>
      </c>
      <c r="H220" s="5">
        <f>G220-F220</f>
        <v/>
      </c>
      <c r="I220" s="6">
        <f>H220/F220</f>
        <v/>
      </c>
      <c r="J220" s="3" t="inlineStr">
        <is>
          <t>Carlos Eduardo Rocha</t>
        </is>
      </c>
      <c r="K220" s="7" t="inlineStr">
        <is>
          <t>A02</t>
        </is>
      </c>
      <c r="L220" s="7">
        <f>IF(H220=0, "Correto", "Divergente")</f>
        <v/>
      </c>
    </row>
    <row r="221">
      <c r="A221" s="8" t="n">
        <v>220</v>
      </c>
      <c r="B221" s="8" t="n">
        <v>117</v>
      </c>
      <c r="C221" s="9" t="inlineStr">
        <is>
          <t>Tablet 10.1" Wi-Fi 64GB (Modelo 13)</t>
        </is>
      </c>
      <c r="D221" s="9" t="inlineStr">
        <is>
          <t>Smartphones</t>
        </is>
      </c>
      <c r="E221" s="10" t="inlineStr">
        <is>
          <t>2026-04-24</t>
        </is>
      </c>
      <c r="F221" s="11" t="n">
        <v>3916</v>
      </c>
      <c r="G221" s="11" t="n">
        <v>3916</v>
      </c>
      <c r="H221" s="11">
        <f>G221-F221</f>
        <v/>
      </c>
      <c r="I221" s="12">
        <f>H221/F221</f>
        <v/>
      </c>
      <c r="J221" s="9" t="inlineStr">
        <is>
          <t>Roberto Fernandes</t>
        </is>
      </c>
      <c r="K221" s="13" t="inlineStr">
        <is>
          <t>A01</t>
        </is>
      </c>
      <c r="L221" s="13">
        <f>IF(H221=0, "Correto", "Divergente")</f>
        <v/>
      </c>
    </row>
    <row r="222">
      <c r="A222" s="2" t="n">
        <v>221</v>
      </c>
      <c r="B222" s="2" t="n">
        <v>74</v>
      </c>
      <c r="C222" s="3" t="inlineStr">
        <is>
          <t>Multifuncional Tanque de Tinta (Modelo 15)</t>
        </is>
      </c>
      <c r="D222" s="3" t="inlineStr">
        <is>
          <t>Impressão</t>
        </is>
      </c>
      <c r="E222" s="4" t="inlineStr">
        <is>
          <t>2024-07-12</t>
        </is>
      </c>
      <c r="F222" s="5" t="n">
        <v>1055</v>
      </c>
      <c r="G222" s="5" t="n">
        <v>1055</v>
      </c>
      <c r="H222" s="5">
        <f>G222-F222</f>
        <v/>
      </c>
      <c r="I222" s="6">
        <f>H222/F222</f>
        <v/>
      </c>
      <c r="J222" s="3" t="inlineStr">
        <is>
          <t>Ricardo Mendes</t>
        </is>
      </c>
      <c r="K222" s="7" t="inlineStr">
        <is>
          <t>C02</t>
        </is>
      </c>
      <c r="L222" s="7">
        <f>IF(H222=0, "Correto", "Divergente")</f>
        <v/>
      </c>
    </row>
    <row r="223">
      <c r="A223" s="8" t="n">
        <v>222</v>
      </c>
      <c r="B223" s="8" t="n">
        <v>135</v>
      </c>
      <c r="C223" s="9" t="inlineStr">
        <is>
          <t>Caixa de Som USB 10W (Modelo 1)</t>
        </is>
      </c>
      <c r="D223" s="9" t="inlineStr">
        <is>
          <t>Áudio</t>
        </is>
      </c>
      <c r="E223" s="10" t="inlineStr">
        <is>
          <t>2024-11-04</t>
        </is>
      </c>
      <c r="F223" s="11" t="n">
        <v>1684</v>
      </c>
      <c r="G223" s="11" t="n">
        <v>1684</v>
      </c>
      <c r="H223" s="11">
        <f>G223-F223</f>
        <v/>
      </c>
      <c r="I223" s="12">
        <f>H223/F223</f>
        <v/>
      </c>
      <c r="J223" s="9" t="inlineStr">
        <is>
          <t>Ricardo Mendes</t>
        </is>
      </c>
      <c r="K223" s="13" t="inlineStr">
        <is>
          <t>A01</t>
        </is>
      </c>
      <c r="L223" s="13">
        <f>IF(H223=0, "Correto", "Divergente")</f>
        <v/>
      </c>
    </row>
    <row r="224">
      <c r="A224" s="2" t="n">
        <v>223</v>
      </c>
      <c r="B224" s="2" t="n">
        <v>27</v>
      </c>
      <c r="C224" s="3" t="inlineStr">
        <is>
          <t>Tablet 10.1" Wi-Fi 64GB (Modelo 13)</t>
        </is>
      </c>
      <c r="D224" s="3" t="inlineStr">
        <is>
          <t>Smartphones</t>
        </is>
      </c>
      <c r="E224" s="4" t="inlineStr">
        <is>
          <t>2025-01-30</t>
        </is>
      </c>
      <c r="F224" s="5" t="n">
        <v>3821</v>
      </c>
      <c r="G224" s="5" t="n">
        <v>3821</v>
      </c>
      <c r="H224" s="5">
        <f>G224-F224</f>
        <v/>
      </c>
      <c r="I224" s="6">
        <f>H224/F224</f>
        <v/>
      </c>
      <c r="J224" s="3" t="inlineStr">
        <is>
          <t>Beatriz Castilho</t>
        </is>
      </c>
      <c r="K224" s="7" t="inlineStr">
        <is>
          <t>C01</t>
        </is>
      </c>
      <c r="L224" s="7">
        <f>IF(H224=0, "Correto", "Divergente")</f>
        <v/>
      </c>
    </row>
    <row r="225">
      <c r="A225" s="8" t="n">
        <v>224</v>
      </c>
      <c r="B225" s="8" t="n">
        <v>20</v>
      </c>
      <c r="C225" s="9" t="inlineStr">
        <is>
          <t>Memória RAM DDR4 16GB 3200MHz (Modelo 6)</t>
        </is>
      </c>
      <c r="D225" s="9" t="inlineStr">
        <is>
          <t>Componentes</t>
        </is>
      </c>
      <c r="E225" s="10" t="inlineStr">
        <is>
          <t>2024-01-21</t>
        </is>
      </c>
      <c r="F225" s="11" t="n">
        <v>3007</v>
      </c>
      <c r="G225" s="11" t="n">
        <v>3007</v>
      </c>
      <c r="H225" s="11">
        <f>G225-F225</f>
        <v/>
      </c>
      <c r="I225" s="12">
        <f>H225/F225</f>
        <v/>
      </c>
      <c r="J225" s="9" t="inlineStr">
        <is>
          <t>Mariana Alcantara</t>
        </is>
      </c>
      <c r="K225" s="13" t="inlineStr">
        <is>
          <t>B02</t>
        </is>
      </c>
      <c r="L225" s="13">
        <f>IF(H225=0, "Correto", "Divergente")</f>
        <v/>
      </c>
    </row>
    <row r="226">
      <c r="A226" s="2" t="n">
        <v>225</v>
      </c>
      <c r="B226" s="2" t="n">
        <v>142</v>
      </c>
      <c r="C226" s="3" t="inlineStr">
        <is>
          <t>Teclado Sem Fio Ergológico (Modelo 8)</t>
        </is>
      </c>
      <c r="D226" s="3" t="inlineStr">
        <is>
          <t>Periféricos</t>
        </is>
      </c>
      <c r="E226" s="4" t="inlineStr">
        <is>
          <t>2025-03-24</t>
        </is>
      </c>
      <c r="F226" s="5" t="n">
        <v>1593</v>
      </c>
      <c r="G226" s="5" t="n">
        <v>1593</v>
      </c>
      <c r="H226" s="5">
        <f>G226-F226</f>
        <v/>
      </c>
      <c r="I226" s="6">
        <f>H226/F226</f>
        <v/>
      </c>
      <c r="J226" s="3" t="inlineStr">
        <is>
          <t>Mariana Alcantara</t>
        </is>
      </c>
      <c r="K226" s="7" t="inlineStr">
        <is>
          <t>B02</t>
        </is>
      </c>
      <c r="L226" s="7">
        <f>IF(H226=0, "Correto", "Divergente")</f>
        <v/>
      </c>
    </row>
    <row r="227">
      <c r="A227" s="8" t="n">
        <v>226</v>
      </c>
      <c r="B227" s="8" t="n">
        <v>138</v>
      </c>
      <c r="C227" s="9" t="inlineStr">
        <is>
          <t>Repetidor Wi-Fi 1200Mbps (Modelo 4)</t>
        </is>
      </c>
      <c r="D227" s="9" t="inlineStr">
        <is>
          <t>Redes</t>
        </is>
      </c>
      <c r="E227" s="10" t="inlineStr">
        <is>
          <t>2024-08-15</t>
        </is>
      </c>
      <c r="F227" s="11" t="n">
        <v>4453</v>
      </c>
      <c r="G227" s="11" t="n">
        <v>4453</v>
      </c>
      <c r="H227" s="11">
        <f>G227-F227</f>
        <v/>
      </c>
      <c r="I227" s="12">
        <f>H227/F227</f>
        <v/>
      </c>
      <c r="J227" s="9" t="inlineStr">
        <is>
          <t>Fernanda Vasconcelos</t>
        </is>
      </c>
      <c r="K227" s="13" t="inlineStr">
        <is>
          <t>C02</t>
        </is>
      </c>
      <c r="L227" s="13">
        <f>IF(H227=0, "Correto", "Divergente")</f>
        <v/>
      </c>
    </row>
    <row r="228">
      <c r="A228" s="2" t="n">
        <v>227</v>
      </c>
      <c r="B228" s="2" t="n">
        <v>143</v>
      </c>
      <c r="C228" s="3" t="inlineStr">
        <is>
          <t>Monitor 4K 32" Profissional (Modelo 9)</t>
        </is>
      </c>
      <c r="D228" s="3" t="inlineStr">
        <is>
          <t>Monitores</t>
        </is>
      </c>
      <c r="E228" s="4" t="inlineStr">
        <is>
          <t>2025-12-13</t>
        </is>
      </c>
      <c r="F228" s="5" t="n">
        <v>1128</v>
      </c>
      <c r="G228" s="5" t="n">
        <v>1128</v>
      </c>
      <c r="H228" s="5">
        <f>G228-F228</f>
        <v/>
      </c>
      <c r="I228" s="6">
        <f>H228/F228</f>
        <v/>
      </c>
      <c r="J228" s="3" t="inlineStr">
        <is>
          <t>Fernanda Vasconcelos</t>
        </is>
      </c>
      <c r="K228" s="7" t="inlineStr">
        <is>
          <t>C03</t>
        </is>
      </c>
      <c r="L228" s="7">
        <f>IF(H228=0, "Correto", "Divergente")</f>
        <v/>
      </c>
    </row>
    <row r="229">
      <c r="A229" s="8" t="n">
        <v>228</v>
      </c>
      <c r="B229" s="8" t="n">
        <v>65</v>
      </c>
      <c r="C229" s="9" t="inlineStr">
        <is>
          <t>Caixa de Som Bluetooth Portátil (Modelo 6)</t>
        </is>
      </c>
      <c r="D229" s="9" t="inlineStr">
        <is>
          <t>Áudio</t>
        </is>
      </c>
      <c r="E229" s="10" t="inlineStr">
        <is>
          <t>2024-09-02</t>
        </is>
      </c>
      <c r="F229" s="11" t="n">
        <v>3198</v>
      </c>
      <c r="G229" s="11" t="n">
        <v>3198</v>
      </c>
      <c r="H229" s="11">
        <f>G229-F229</f>
        <v/>
      </c>
      <c r="I229" s="12">
        <f>H229/F229</f>
        <v/>
      </c>
      <c r="J229" s="9" t="inlineStr">
        <is>
          <t>Patricia Prado</t>
        </is>
      </c>
      <c r="K229" s="13" t="inlineStr">
        <is>
          <t>B03</t>
        </is>
      </c>
      <c r="L229" s="13">
        <f>IF(H229=0, "Correto", "Divergente")</f>
        <v/>
      </c>
    </row>
    <row r="230">
      <c r="A230" s="2" t="n">
        <v>229</v>
      </c>
      <c r="B230" s="2" t="n">
        <v>49</v>
      </c>
      <c r="C230" s="3" t="inlineStr">
        <is>
          <t>Mousepad Extra Grande (Modelo 5)</t>
        </is>
      </c>
      <c r="D230" s="3" t="inlineStr">
        <is>
          <t>Acessórios</t>
        </is>
      </c>
      <c r="E230" s="4" t="inlineStr">
        <is>
          <t>2025-01-19</t>
        </is>
      </c>
      <c r="F230" s="5" t="n">
        <v>1459</v>
      </c>
      <c r="G230" s="5" t="n">
        <v>1483</v>
      </c>
      <c r="H230" s="5">
        <f>G230-F230</f>
        <v/>
      </c>
      <c r="I230" s="6">
        <f>H230/F230</f>
        <v/>
      </c>
      <c r="J230" s="3" t="inlineStr">
        <is>
          <t>Mariana Alcantara</t>
        </is>
      </c>
      <c r="K230" s="7" t="inlineStr">
        <is>
          <t>Depósito Externo</t>
        </is>
      </c>
      <c r="L230" s="7">
        <f>IF(H230=0, "Correto", "Divergente")</f>
        <v/>
      </c>
    </row>
    <row r="231">
      <c r="A231" s="8" t="n">
        <v>230</v>
      </c>
      <c r="B231" s="8" t="n">
        <v>35</v>
      </c>
      <c r="C231" s="9" t="inlineStr">
        <is>
          <t>Caixa de Som Bluetooth Portátil (Modelo 6)</t>
        </is>
      </c>
      <c r="D231" s="9" t="inlineStr">
        <is>
          <t>Áudio</t>
        </is>
      </c>
      <c r="E231" s="10" t="inlineStr">
        <is>
          <t>2025-08-10</t>
        </is>
      </c>
      <c r="F231" s="11" t="n">
        <v>4378</v>
      </c>
      <c r="G231" s="11" t="n">
        <v>4378</v>
      </c>
      <c r="H231" s="11">
        <f>G231-F231</f>
        <v/>
      </c>
      <c r="I231" s="12">
        <f>H231/F231</f>
        <v/>
      </c>
      <c r="J231" s="9" t="inlineStr">
        <is>
          <t>Marcelo Fontes</t>
        </is>
      </c>
      <c r="K231" s="13" t="inlineStr">
        <is>
          <t>B03</t>
        </is>
      </c>
      <c r="L231" s="13">
        <f>IF(H231=0, "Correto", "Divergente")</f>
        <v/>
      </c>
    </row>
    <row r="232">
      <c r="A232" s="2" t="n">
        <v>231</v>
      </c>
      <c r="B232" s="2" t="n">
        <v>58</v>
      </c>
      <c r="C232" s="3" t="inlineStr">
        <is>
          <t>Access Point Wi-Fi Corporativo (Modelo 14)</t>
        </is>
      </c>
      <c r="D232" s="3" t="inlineStr">
        <is>
          <t>Redes</t>
        </is>
      </c>
      <c r="E232" s="4" t="inlineStr">
        <is>
          <t>2025-07-19</t>
        </is>
      </c>
      <c r="F232" s="5" t="n">
        <v>3881</v>
      </c>
      <c r="G232" s="5" t="n">
        <v>3881</v>
      </c>
      <c r="H232" s="5">
        <f>G232-F232</f>
        <v/>
      </c>
      <c r="I232" s="6">
        <f>H232/F232</f>
        <v/>
      </c>
      <c r="J232" s="3" t="inlineStr">
        <is>
          <t>Carlos Eduardo Rocha</t>
        </is>
      </c>
      <c r="K232" s="7" t="inlineStr">
        <is>
          <t>B02</t>
        </is>
      </c>
      <c r="L232" s="7">
        <f>IF(H232=0, "Correto", "Divergente")</f>
        <v/>
      </c>
    </row>
    <row r="233">
      <c r="A233" s="8" t="n">
        <v>232</v>
      </c>
      <c r="B233" s="8" t="n">
        <v>39</v>
      </c>
      <c r="C233" s="9" t="inlineStr">
        <is>
          <t>Nobreak 1200VA Bivolt (Modelo 10)</t>
        </is>
      </c>
      <c r="D233" s="9" t="inlineStr">
        <is>
          <t>Acessórios</t>
        </is>
      </c>
      <c r="E233" s="10" t="inlineStr">
        <is>
          <t>2025-07-03</t>
        </is>
      </c>
      <c r="F233" s="11" t="n">
        <v>3722</v>
      </c>
      <c r="G233" s="11" t="n">
        <v>3722</v>
      </c>
      <c r="H233" s="11">
        <f>G233-F233</f>
        <v/>
      </c>
      <c r="I233" s="12">
        <f>H233/F233</f>
        <v/>
      </c>
      <c r="J233" s="9" t="inlineStr">
        <is>
          <t>Mariana Alcantara</t>
        </is>
      </c>
      <c r="K233" s="13" t="inlineStr">
        <is>
          <t>B01</t>
        </is>
      </c>
      <c r="L233" s="13">
        <f>IF(H233=0, "Correto", "Divergente")</f>
        <v/>
      </c>
    </row>
    <row r="234">
      <c r="A234" s="2" t="n">
        <v>233</v>
      </c>
      <c r="B234" s="2" t="n">
        <v>79</v>
      </c>
      <c r="C234" s="3" t="inlineStr">
        <is>
          <t>Cabo DisplayPort 1.4 1.8m (Modelo 5)</t>
        </is>
      </c>
      <c r="D234" s="3" t="inlineStr">
        <is>
          <t>Acessórios</t>
        </is>
      </c>
      <c r="E234" s="4" t="inlineStr">
        <is>
          <t>2024-09-10</t>
        </is>
      </c>
      <c r="F234" s="5" t="n">
        <v>2118</v>
      </c>
      <c r="G234" s="5" t="n">
        <v>2225</v>
      </c>
      <c r="H234" s="5">
        <f>G234-F234</f>
        <v/>
      </c>
      <c r="I234" s="6">
        <f>H234/F234</f>
        <v/>
      </c>
      <c r="J234" s="3" t="inlineStr">
        <is>
          <t>Mariana Alcantara</t>
        </is>
      </c>
      <c r="K234" s="7" t="inlineStr">
        <is>
          <t>C02</t>
        </is>
      </c>
      <c r="L234" s="7">
        <f>IF(H234=0, "Correto", "Divergente")</f>
        <v/>
      </c>
    </row>
    <row r="235">
      <c r="A235" s="8" t="n">
        <v>234</v>
      </c>
      <c r="B235" s="8" t="n">
        <v>81</v>
      </c>
      <c r="C235" s="9" t="inlineStr">
        <is>
          <t>Notebook Corporate i5 16GB (Modelo 7)</t>
        </is>
      </c>
      <c r="D235" s="9" t="inlineStr">
        <is>
          <t>Informática</t>
        </is>
      </c>
      <c r="E235" s="10" t="inlineStr">
        <is>
          <t>2025-08-04</t>
        </is>
      </c>
      <c r="F235" s="11" t="n">
        <v>2447</v>
      </c>
      <c r="G235" s="11" t="n">
        <v>2447</v>
      </c>
      <c r="H235" s="11">
        <f>G235-F235</f>
        <v/>
      </c>
      <c r="I235" s="12">
        <f>H235/F235</f>
        <v/>
      </c>
      <c r="J235" s="9" t="inlineStr">
        <is>
          <t>Carlos Eduardo Rocha</t>
        </is>
      </c>
      <c r="K235" s="13" t="inlineStr">
        <is>
          <t>A02</t>
        </is>
      </c>
      <c r="L235" s="13">
        <f>IF(H235=0, "Correto", "Divergente")</f>
        <v/>
      </c>
    </row>
    <row r="236">
      <c r="A236" s="2" t="n">
        <v>235</v>
      </c>
      <c r="B236" s="2" t="n">
        <v>75</v>
      </c>
      <c r="C236" s="3" t="inlineStr">
        <is>
          <t>Caixa de Som USB 10W (Modelo 1)</t>
        </is>
      </c>
      <c r="D236" s="3" t="inlineStr">
        <is>
          <t>Áudio</t>
        </is>
      </c>
      <c r="E236" s="4" t="inlineStr">
        <is>
          <t>2026-06-09</t>
        </is>
      </c>
      <c r="F236" s="5" t="n">
        <v>738</v>
      </c>
      <c r="G236" s="5" t="n">
        <v>727</v>
      </c>
      <c r="H236" s="5">
        <f>G236-F236</f>
        <v/>
      </c>
      <c r="I236" s="6">
        <f>H236/F236</f>
        <v/>
      </c>
      <c r="J236" s="3" t="inlineStr">
        <is>
          <t>Marcelo Fontes</t>
        </is>
      </c>
      <c r="K236" s="7" t="inlineStr">
        <is>
          <t>A01</t>
        </is>
      </c>
      <c r="L236" s="7">
        <f>IF(H236=0, "Correto", "Divergente")</f>
        <v/>
      </c>
    </row>
    <row r="237">
      <c r="A237" s="8" t="n">
        <v>236</v>
      </c>
      <c r="B237" s="8" t="n">
        <v>8</v>
      </c>
      <c r="C237" s="9" t="inlineStr">
        <is>
          <t>Switch Gigabit 16 Portas (Modelo 9)</t>
        </is>
      </c>
      <c r="D237" s="9" t="inlineStr">
        <is>
          <t>Redes</t>
        </is>
      </c>
      <c r="E237" s="10" t="inlineStr">
        <is>
          <t>2025-10-07</t>
        </is>
      </c>
      <c r="F237" s="11" t="n">
        <v>1656</v>
      </c>
      <c r="G237" s="11" t="n">
        <v>1656</v>
      </c>
      <c r="H237" s="11">
        <f>G237-F237</f>
        <v/>
      </c>
      <c r="I237" s="12">
        <f>H237/F237</f>
        <v/>
      </c>
      <c r="J237" s="9" t="inlineStr">
        <is>
          <t>Beatriz Castilho</t>
        </is>
      </c>
      <c r="K237" s="13" t="inlineStr">
        <is>
          <t>A02</t>
        </is>
      </c>
      <c r="L237" s="13">
        <f>IF(H237=0, "Correto", "Divergente")</f>
        <v/>
      </c>
    </row>
    <row r="238">
      <c r="A238" s="2" t="n">
        <v>237</v>
      </c>
      <c r="B238" s="2" t="n">
        <v>65</v>
      </c>
      <c r="C238" s="3" t="inlineStr">
        <is>
          <t>Caixa de Som Bluetooth Portátil (Modelo 6)</t>
        </is>
      </c>
      <c r="D238" s="3" t="inlineStr">
        <is>
          <t>Áudio</t>
        </is>
      </c>
      <c r="E238" s="4" t="inlineStr">
        <is>
          <t>2026-10-18</t>
        </is>
      </c>
      <c r="F238" s="5" t="n">
        <v>4267</v>
      </c>
      <c r="G238" s="5" t="n">
        <v>4403</v>
      </c>
      <c r="H238" s="5">
        <f>G238-F238</f>
        <v/>
      </c>
      <c r="I238" s="6">
        <f>H238/F238</f>
        <v/>
      </c>
      <c r="J238" s="3" t="inlineStr">
        <is>
          <t>Beatriz Castilho</t>
        </is>
      </c>
      <c r="K238" s="7" t="inlineStr">
        <is>
          <t>C03</t>
        </is>
      </c>
      <c r="L238" s="7">
        <f>IF(H238=0, "Correto", "Divergente")</f>
        <v/>
      </c>
    </row>
    <row r="239">
      <c r="A239" s="8" t="n">
        <v>238</v>
      </c>
      <c r="B239" s="8" t="n">
        <v>191</v>
      </c>
      <c r="C239" s="9" t="inlineStr">
        <is>
          <t>Chromebook 11.6" (Modelo 12)</t>
        </is>
      </c>
      <c r="D239" s="9" t="inlineStr">
        <is>
          <t>Informática</t>
        </is>
      </c>
      <c r="E239" s="10" t="inlineStr">
        <is>
          <t>2025-03-24</t>
        </is>
      </c>
      <c r="F239" s="11" t="n">
        <v>351</v>
      </c>
      <c r="G239" s="11" t="n">
        <v>351</v>
      </c>
      <c r="H239" s="11">
        <f>G239-F239</f>
        <v/>
      </c>
      <c r="I239" s="12">
        <f>H239/F239</f>
        <v/>
      </c>
      <c r="J239" s="9" t="inlineStr">
        <is>
          <t>Camila Azevedo</t>
        </is>
      </c>
      <c r="K239" s="13" t="inlineStr">
        <is>
          <t>C02</t>
        </is>
      </c>
      <c r="L239" s="13">
        <f>IF(H239=0, "Correto", "Divergente")</f>
        <v/>
      </c>
    </row>
    <row r="240">
      <c r="A240" s="2" t="n">
        <v>239</v>
      </c>
      <c r="B240" s="2" t="n">
        <v>176</v>
      </c>
      <c r="C240" s="3" t="inlineStr">
        <is>
          <t>SSD NVMe 1TB M.2 (Modelo 12)</t>
        </is>
      </c>
      <c r="D240" s="3" t="inlineStr">
        <is>
          <t>Armazenamento</t>
        </is>
      </c>
      <c r="E240" s="4" t="inlineStr">
        <is>
          <t>2026-09-27</t>
        </is>
      </c>
      <c r="F240" s="5" t="n">
        <v>3514</v>
      </c>
      <c r="G240" s="5" t="n">
        <v>3514</v>
      </c>
      <c r="H240" s="5">
        <f>G240-F240</f>
        <v/>
      </c>
      <c r="I240" s="6">
        <f>H240/F240</f>
        <v/>
      </c>
      <c r="J240" s="3" t="inlineStr">
        <is>
          <t>Beatriz Castilho</t>
        </is>
      </c>
      <c r="K240" s="7" t="inlineStr">
        <is>
          <t>B03</t>
        </is>
      </c>
      <c r="L240" s="7">
        <f>IF(H240=0, "Correto", "Divergente")</f>
        <v/>
      </c>
    </row>
    <row r="241">
      <c r="A241" s="8" t="n">
        <v>240</v>
      </c>
      <c r="B241" s="8" t="n">
        <v>52</v>
      </c>
      <c r="C241" s="9" t="inlineStr">
        <is>
          <t>Mouse Óptico USB (Modelo 8)</t>
        </is>
      </c>
      <c r="D241" s="9" t="inlineStr">
        <is>
          <t>Periféricos</t>
        </is>
      </c>
      <c r="E241" s="10" t="inlineStr">
        <is>
          <t>2025-06-04</t>
        </is>
      </c>
      <c r="F241" s="11" t="n">
        <v>4546</v>
      </c>
      <c r="G241" s="11" t="n">
        <v>4546</v>
      </c>
      <c r="H241" s="11">
        <f>G241-F241</f>
        <v/>
      </c>
      <c r="I241" s="12">
        <f>H241/F241</f>
        <v/>
      </c>
      <c r="J241" s="9" t="inlineStr">
        <is>
          <t>Beatriz Castilho</t>
        </is>
      </c>
      <c r="K241" s="13" t="inlineStr">
        <is>
          <t>C01</t>
        </is>
      </c>
      <c r="L241" s="13">
        <f>IF(H241=0, "Correto", "Divergente")</f>
        <v/>
      </c>
    </row>
    <row r="242">
      <c r="A242" s="2" t="n">
        <v>241</v>
      </c>
      <c r="B242" s="2" t="n">
        <v>138</v>
      </c>
      <c r="C242" s="3" t="inlineStr">
        <is>
          <t>Repetidor Wi-Fi 1200Mbps (Modelo 4)</t>
        </is>
      </c>
      <c r="D242" s="3" t="inlineStr">
        <is>
          <t>Redes</t>
        </is>
      </c>
      <c r="E242" s="4" t="inlineStr">
        <is>
          <t>2024-06-14</t>
        </is>
      </c>
      <c r="F242" s="5" t="n">
        <v>171</v>
      </c>
      <c r="G242" s="5" t="n">
        <v>171</v>
      </c>
      <c r="H242" s="5">
        <f>G242-F242</f>
        <v/>
      </c>
      <c r="I242" s="6">
        <f>H242/F242</f>
        <v/>
      </c>
      <c r="J242" s="3" t="inlineStr">
        <is>
          <t>Carlos Eduardo Rocha</t>
        </is>
      </c>
      <c r="K242" s="7" t="inlineStr">
        <is>
          <t>Depósito Externo</t>
        </is>
      </c>
      <c r="L242" s="7">
        <f>IF(H242=0, "Correto", "Divergente")</f>
        <v/>
      </c>
    </row>
    <row r="243">
      <c r="A243" s="8" t="n">
        <v>242</v>
      </c>
      <c r="B243" s="8" t="n">
        <v>11</v>
      </c>
      <c r="C243" s="9" t="inlineStr">
        <is>
          <t>Desktop Core i5 8GB (Modelo 12)</t>
        </is>
      </c>
      <c r="D243" s="9" t="inlineStr">
        <is>
          <t>Informática</t>
        </is>
      </c>
      <c r="E243" s="10" t="inlineStr">
        <is>
          <t>2026-08-25</t>
        </is>
      </c>
      <c r="F243" s="11" t="n">
        <v>1194</v>
      </c>
      <c r="G243" s="11" t="n">
        <v>1195</v>
      </c>
      <c r="H243" s="11">
        <f>G243-F243</f>
        <v/>
      </c>
      <c r="I243" s="12">
        <f>H243/F243</f>
        <v/>
      </c>
      <c r="J243" s="9" t="inlineStr">
        <is>
          <t>Gustavo Silveira</t>
        </is>
      </c>
      <c r="K243" s="13" t="inlineStr">
        <is>
          <t>A02</t>
        </is>
      </c>
      <c r="L243" s="13">
        <f>IF(H243=0, "Correto", "Divergente")</f>
        <v/>
      </c>
    </row>
    <row r="244">
      <c r="A244" s="2" t="n">
        <v>243</v>
      </c>
      <c r="B244" s="2" t="n">
        <v>183</v>
      </c>
      <c r="C244" s="3" t="inlineStr">
        <is>
          <t>Monitor 27" Curvo 144Hz (Modelo 4)</t>
        </is>
      </c>
      <c r="D244" s="3" t="inlineStr">
        <is>
          <t>Monitores</t>
        </is>
      </c>
      <c r="E244" s="4" t="inlineStr">
        <is>
          <t>2025-12-29</t>
        </is>
      </c>
      <c r="F244" s="5" t="n">
        <v>997</v>
      </c>
      <c r="G244" s="5" t="n">
        <v>997</v>
      </c>
      <c r="H244" s="5">
        <f>G244-F244</f>
        <v/>
      </c>
      <c r="I244" s="6">
        <f>H244/F244</f>
        <v/>
      </c>
      <c r="J244" s="3" t="inlineStr">
        <is>
          <t>Fernanda Vasconcelos</t>
        </is>
      </c>
      <c r="K244" s="7" t="inlineStr">
        <is>
          <t>C01</t>
        </is>
      </c>
      <c r="L244" s="7">
        <f>IF(H244=0, "Correto", "Divergente")</f>
        <v/>
      </c>
    </row>
    <row r="245">
      <c r="A245" s="8" t="n">
        <v>244</v>
      </c>
      <c r="B245" s="8" t="n">
        <v>58</v>
      </c>
      <c r="C245" s="9" t="inlineStr">
        <is>
          <t>Access Point Wi-Fi Corporativo (Modelo 14)</t>
        </is>
      </c>
      <c r="D245" s="9" t="inlineStr">
        <is>
          <t>Redes</t>
        </is>
      </c>
      <c r="E245" s="10" t="inlineStr">
        <is>
          <t>2025-03-01</t>
        </is>
      </c>
      <c r="F245" s="11" t="n">
        <v>2280</v>
      </c>
      <c r="G245" s="11" t="n">
        <v>2409</v>
      </c>
      <c r="H245" s="11">
        <f>G245-F245</f>
        <v/>
      </c>
      <c r="I245" s="12">
        <f>H245/F245</f>
        <v/>
      </c>
      <c r="J245" s="9" t="inlineStr">
        <is>
          <t>Carlos Eduardo Rocha</t>
        </is>
      </c>
      <c r="K245" s="13" t="inlineStr">
        <is>
          <t>A02</t>
        </is>
      </c>
      <c r="L245" s="13">
        <f>IF(H245=0, "Correto", "Divergente")</f>
        <v/>
      </c>
    </row>
    <row r="246">
      <c r="A246" s="2" t="n">
        <v>245</v>
      </c>
      <c r="B246" s="2" t="n">
        <v>10</v>
      </c>
      <c r="C246" s="3" t="inlineStr">
        <is>
          <t>Fonte Atx 500W 80 Plus (Modelo 11)</t>
        </is>
      </c>
      <c r="D246" s="3" t="inlineStr">
        <is>
          <t>Componentes</t>
        </is>
      </c>
      <c r="E246" s="4" t="inlineStr">
        <is>
          <t>2026-12-16</t>
        </is>
      </c>
      <c r="F246" s="5" t="n">
        <v>3889</v>
      </c>
      <c r="G246" s="5" t="n">
        <v>3889</v>
      </c>
      <c r="H246" s="5">
        <f>G246-F246</f>
        <v/>
      </c>
      <c r="I246" s="6">
        <f>H246/F246</f>
        <v/>
      </c>
      <c r="J246" s="3" t="inlineStr">
        <is>
          <t>Gustavo Silveira</t>
        </is>
      </c>
      <c r="K246" s="7" t="inlineStr">
        <is>
          <t>A03</t>
        </is>
      </c>
      <c r="L246" s="7">
        <f>IF(H246=0, "Correto", "Divergente")</f>
        <v/>
      </c>
    </row>
    <row r="247">
      <c r="A247" s="8" t="n">
        <v>246</v>
      </c>
      <c r="B247" s="8" t="n">
        <v>51</v>
      </c>
      <c r="C247" s="9" t="inlineStr">
        <is>
          <t>Desktop Core i5 8GB (Modelo 7)</t>
        </is>
      </c>
      <c r="D247" s="9" t="inlineStr">
        <is>
          <t>Informática</t>
        </is>
      </c>
      <c r="E247" s="10" t="inlineStr">
        <is>
          <t>2025-09-09</t>
        </is>
      </c>
      <c r="F247" s="11" t="n">
        <v>1470</v>
      </c>
      <c r="G247" s="11" t="n">
        <v>1470</v>
      </c>
      <c r="H247" s="11">
        <f>G247-F247</f>
        <v/>
      </c>
      <c r="I247" s="12">
        <f>H247/F247</f>
        <v/>
      </c>
      <c r="J247" s="9" t="inlineStr">
        <is>
          <t>Gustavo Silveira</t>
        </is>
      </c>
      <c r="K247" s="13" t="inlineStr">
        <is>
          <t>B02</t>
        </is>
      </c>
      <c r="L247" s="13">
        <f>IF(H247=0, "Correto", "Divergente")</f>
        <v/>
      </c>
    </row>
    <row r="248">
      <c r="A248" s="2" t="n">
        <v>247</v>
      </c>
      <c r="B248" s="2" t="n">
        <v>109</v>
      </c>
      <c r="C248" s="3" t="inlineStr">
        <is>
          <t>Nobreak 1200VA Bivolt (Modelo 5)</t>
        </is>
      </c>
      <c r="D248" s="3" t="inlineStr">
        <is>
          <t>Acessórios</t>
        </is>
      </c>
      <c r="E248" s="4" t="inlineStr">
        <is>
          <t>2026-06-12</t>
        </is>
      </c>
      <c r="F248" s="5" t="n">
        <v>4557</v>
      </c>
      <c r="G248" s="5" t="n">
        <v>4557</v>
      </c>
      <c r="H248" s="5">
        <f>G248-F248</f>
        <v/>
      </c>
      <c r="I248" s="6">
        <f>H248/F248</f>
        <v/>
      </c>
      <c r="J248" s="3" t="inlineStr">
        <is>
          <t>Mariana Alcantara</t>
        </is>
      </c>
      <c r="K248" s="7" t="inlineStr">
        <is>
          <t>C01</t>
        </is>
      </c>
      <c r="L248" s="7">
        <f>IF(H248=0, "Correto", "Divergente")</f>
        <v/>
      </c>
    </row>
    <row r="249">
      <c r="A249" s="8" t="n">
        <v>248</v>
      </c>
      <c r="B249" s="8" t="n">
        <v>97</v>
      </c>
      <c r="C249" s="9" t="inlineStr">
        <is>
          <t>Smartphone Empresarial 128GB (Modelo 8)</t>
        </is>
      </c>
      <c r="D249" s="9" t="inlineStr">
        <is>
          <t>Smartphones</t>
        </is>
      </c>
      <c r="E249" s="10" t="inlineStr">
        <is>
          <t>2026-01-23</t>
        </is>
      </c>
      <c r="F249" s="11" t="n">
        <v>1763</v>
      </c>
      <c r="G249" s="11" t="n">
        <v>1763</v>
      </c>
      <c r="H249" s="11">
        <f>G249-F249</f>
        <v/>
      </c>
      <c r="I249" s="12">
        <f>H249/F249</f>
        <v/>
      </c>
      <c r="J249" s="9" t="inlineStr">
        <is>
          <t>Camila Azevedo</t>
        </is>
      </c>
      <c r="K249" s="13" t="inlineStr">
        <is>
          <t>Depósito Externo</t>
        </is>
      </c>
      <c r="L249" s="13">
        <f>IF(H249=0, "Correto", "Divergente")</f>
        <v/>
      </c>
    </row>
    <row r="250">
      <c r="A250" s="2" t="n">
        <v>249</v>
      </c>
      <c r="B250" s="2" t="n">
        <v>197</v>
      </c>
      <c r="C250" s="3" t="inlineStr">
        <is>
          <t>Capa Protetora para Tablet (Modelo 3)</t>
        </is>
      </c>
      <c r="D250" s="3" t="inlineStr">
        <is>
          <t>Smartphones</t>
        </is>
      </c>
      <c r="E250" s="4" t="inlineStr">
        <is>
          <t>2026-09-29</t>
        </is>
      </c>
      <c r="F250" s="5" t="n">
        <v>2145</v>
      </c>
      <c r="G250" s="5" t="n">
        <v>2220</v>
      </c>
      <c r="H250" s="5">
        <f>G250-F250</f>
        <v/>
      </c>
      <c r="I250" s="6">
        <f>H250/F250</f>
        <v/>
      </c>
      <c r="J250" s="3" t="inlineStr">
        <is>
          <t>Fernanda Vasconcelos</t>
        </is>
      </c>
      <c r="K250" s="7" t="inlineStr">
        <is>
          <t>B03</t>
        </is>
      </c>
      <c r="L250" s="7">
        <f>IF(H250=0, "Correto", "Divergente")</f>
        <v/>
      </c>
    </row>
    <row r="251">
      <c r="A251" s="8" t="n">
        <v>250</v>
      </c>
      <c r="B251" s="8" t="n">
        <v>141</v>
      </c>
      <c r="C251" s="9" t="inlineStr">
        <is>
          <t>Mini PC Ryzen 5 (Modelo 7)</t>
        </is>
      </c>
      <c r="D251" s="9" t="inlineStr">
        <is>
          <t>Informática</t>
        </is>
      </c>
      <c r="E251" s="10" t="inlineStr">
        <is>
          <t>2024-07-01</t>
        </is>
      </c>
      <c r="F251" s="11" t="n">
        <v>1594</v>
      </c>
      <c r="G251" s="11" t="n">
        <v>1594</v>
      </c>
      <c r="H251" s="11">
        <f>G251-F251</f>
        <v/>
      </c>
      <c r="I251" s="12">
        <f>H251/F251</f>
        <v/>
      </c>
      <c r="J251" s="9" t="inlineStr">
        <is>
          <t>Roberto Fernandes</t>
        </is>
      </c>
      <c r="K251" s="13" t="inlineStr">
        <is>
          <t>A02</t>
        </is>
      </c>
      <c r="L251" s="13">
        <f>IF(H251=0, "Correto", "Divergente")</f>
        <v/>
      </c>
    </row>
    <row r="252">
      <c r="A252" s="2" t="n">
        <v>251</v>
      </c>
      <c r="B252" s="2" t="n">
        <v>118</v>
      </c>
      <c r="C252" s="3" t="inlineStr">
        <is>
          <t>Access Point Wi-Fi Corporativo (Modelo 14)</t>
        </is>
      </c>
      <c r="D252" s="3" t="inlineStr">
        <is>
          <t>Redes</t>
        </is>
      </c>
      <c r="E252" s="4" t="inlineStr">
        <is>
          <t>2024-12-26</t>
        </is>
      </c>
      <c r="F252" s="5" t="n">
        <v>1808</v>
      </c>
      <c r="G252" s="5" t="n">
        <v>1808</v>
      </c>
      <c r="H252" s="5">
        <f>G252-F252</f>
        <v/>
      </c>
      <c r="I252" s="6">
        <f>H252/F252</f>
        <v/>
      </c>
      <c r="J252" s="3" t="inlineStr">
        <is>
          <t>Fernanda Vasconcelos</t>
        </is>
      </c>
      <c r="K252" s="7" t="inlineStr">
        <is>
          <t>B02</t>
        </is>
      </c>
      <c r="L252" s="7">
        <f>IF(H252=0, "Correto", "Divergente")</f>
        <v/>
      </c>
    </row>
    <row r="253">
      <c r="A253" s="8" t="n">
        <v>252</v>
      </c>
      <c r="B253" s="8" t="n">
        <v>160</v>
      </c>
      <c r="C253" s="9" t="inlineStr">
        <is>
          <t>Fonte Atx 500W 80 Plus (Modelo 11)</t>
        </is>
      </c>
      <c r="D253" s="9" t="inlineStr">
        <is>
          <t>Componentes</t>
        </is>
      </c>
      <c r="E253" s="10" t="inlineStr">
        <is>
          <t>2026-04-12</t>
        </is>
      </c>
      <c r="F253" s="11" t="n">
        <v>3822</v>
      </c>
      <c r="G253" s="11" t="n">
        <v>3652</v>
      </c>
      <c r="H253" s="11">
        <f>G253-F253</f>
        <v/>
      </c>
      <c r="I253" s="12">
        <f>H253/F253</f>
        <v/>
      </c>
      <c r="J253" s="9" t="inlineStr">
        <is>
          <t>Ricardo Mendes</t>
        </is>
      </c>
      <c r="K253" s="13" t="inlineStr">
        <is>
          <t>B02</t>
        </is>
      </c>
      <c r="L253" s="13">
        <f>IF(H253=0, "Correto", "Divergente")</f>
        <v/>
      </c>
    </row>
    <row r="254">
      <c r="A254" s="2" t="n">
        <v>253</v>
      </c>
      <c r="B254" s="2" t="n">
        <v>178</v>
      </c>
      <c r="C254" s="3" t="inlineStr">
        <is>
          <t>Access Point Wi-Fi Corporativo (Modelo 14)</t>
        </is>
      </c>
      <c r="D254" s="3" t="inlineStr">
        <is>
          <t>Redes</t>
        </is>
      </c>
      <c r="E254" s="4" t="inlineStr">
        <is>
          <t>2024-07-06</t>
        </is>
      </c>
      <c r="F254" s="5" t="n">
        <v>379</v>
      </c>
      <c r="G254" s="5" t="n">
        <v>379</v>
      </c>
      <c r="H254" s="5">
        <f>G254-F254</f>
        <v/>
      </c>
      <c r="I254" s="6">
        <f>H254/F254</f>
        <v/>
      </c>
      <c r="J254" s="3" t="inlineStr">
        <is>
          <t>Patricia Prado</t>
        </is>
      </c>
      <c r="K254" s="7" t="inlineStr">
        <is>
          <t>B03</t>
        </is>
      </c>
      <c r="L254" s="7">
        <f>IF(H254=0, "Correto", "Divergente")</f>
        <v/>
      </c>
    </row>
    <row r="255">
      <c r="A255" s="8" t="n">
        <v>254</v>
      </c>
      <c r="B255" s="8" t="n">
        <v>179</v>
      </c>
      <c r="C255" s="9" t="inlineStr">
        <is>
          <t>Nobreak 1200VA Bivolt (Modelo 15)</t>
        </is>
      </c>
      <c r="D255" s="9" t="inlineStr">
        <is>
          <t>Acessórios</t>
        </is>
      </c>
      <c r="E255" s="10" t="inlineStr">
        <is>
          <t>2024-05-17</t>
        </is>
      </c>
      <c r="F255" s="11" t="n">
        <v>3176</v>
      </c>
      <c r="G255" s="11" t="n">
        <v>3279</v>
      </c>
      <c r="H255" s="11">
        <f>G255-F255</f>
        <v/>
      </c>
      <c r="I255" s="12">
        <f>H255/F255</f>
        <v/>
      </c>
      <c r="J255" s="9" t="inlineStr">
        <is>
          <t>Gustavo Silveira</t>
        </is>
      </c>
      <c r="K255" s="13" t="inlineStr">
        <is>
          <t>B03</t>
        </is>
      </c>
      <c r="L255" s="13">
        <f>IF(H255=0, "Correto", "Divergente")</f>
        <v/>
      </c>
    </row>
    <row r="256">
      <c r="A256" s="2" t="n">
        <v>255</v>
      </c>
      <c r="B256" s="2" t="n">
        <v>108</v>
      </c>
      <c r="C256" s="3" t="inlineStr">
        <is>
          <t>Repetidor Wi-Fi 1200Mbps (Modelo 4)</t>
        </is>
      </c>
      <c r="D256" s="3" t="inlineStr">
        <is>
          <t>Redes</t>
        </is>
      </c>
      <c r="E256" s="4" t="inlineStr">
        <is>
          <t>2024-07-06</t>
        </is>
      </c>
      <c r="F256" s="5" t="n">
        <v>981</v>
      </c>
      <c r="G256" s="5" t="n">
        <v>981</v>
      </c>
      <c r="H256" s="5">
        <f>G256-F256</f>
        <v/>
      </c>
      <c r="I256" s="6">
        <f>H256/F256</f>
        <v/>
      </c>
      <c r="J256" s="3" t="inlineStr">
        <is>
          <t>Ricardo Mendes</t>
        </is>
      </c>
      <c r="K256" s="7" t="inlineStr">
        <is>
          <t>A02</t>
        </is>
      </c>
      <c r="L256" s="7">
        <f>IF(H256=0, "Correto", "Divergente")</f>
        <v/>
      </c>
    </row>
    <row r="257">
      <c r="A257" s="8" t="n">
        <v>256</v>
      </c>
      <c r="B257" s="8" t="n">
        <v>181</v>
      </c>
      <c r="C257" s="9" t="inlineStr">
        <is>
          <t>Mini PC Ryzen 5 (Modelo 2)</t>
        </is>
      </c>
      <c r="D257" s="9" t="inlineStr">
        <is>
          <t>Informática</t>
        </is>
      </c>
      <c r="E257" s="10" t="inlineStr">
        <is>
          <t>2024-04-22</t>
        </is>
      </c>
      <c r="F257" s="11" t="n">
        <v>4273</v>
      </c>
      <c r="G257" s="11" t="n">
        <v>4186</v>
      </c>
      <c r="H257" s="11">
        <f>G257-F257</f>
        <v/>
      </c>
      <c r="I257" s="12">
        <f>H257/F257</f>
        <v/>
      </c>
      <c r="J257" s="9" t="inlineStr">
        <is>
          <t>Beatriz Castilho</t>
        </is>
      </c>
      <c r="K257" s="13" t="inlineStr">
        <is>
          <t>Depósito Externo</t>
        </is>
      </c>
      <c r="L257" s="13">
        <f>IF(H257=0, "Correto", "Divergente")</f>
        <v/>
      </c>
    </row>
    <row r="258">
      <c r="A258" s="2" t="n">
        <v>257</v>
      </c>
      <c r="B258" s="2" t="n">
        <v>82</v>
      </c>
      <c r="C258" s="3" t="inlineStr">
        <is>
          <t>Combo Teclado e Mouse (Modelo 8)</t>
        </is>
      </c>
      <c r="D258" s="3" t="inlineStr">
        <is>
          <t>Periféricos</t>
        </is>
      </c>
      <c r="E258" s="4" t="inlineStr">
        <is>
          <t>2025-04-07</t>
        </is>
      </c>
      <c r="F258" s="5" t="n">
        <v>2174</v>
      </c>
      <c r="G258" s="5" t="n">
        <v>2174</v>
      </c>
      <c r="H258" s="5">
        <f>G258-F258</f>
        <v/>
      </c>
      <c r="I258" s="6">
        <f>H258/F258</f>
        <v/>
      </c>
      <c r="J258" s="3" t="inlineStr">
        <is>
          <t>Ricardo Mendes</t>
        </is>
      </c>
      <c r="K258" s="7" t="inlineStr">
        <is>
          <t>A01</t>
        </is>
      </c>
      <c r="L258" s="7">
        <f>IF(H258=0, "Correto", "Divergente")</f>
        <v/>
      </c>
    </row>
    <row r="259">
      <c r="A259" s="8" t="n">
        <v>258</v>
      </c>
      <c r="B259" s="8" t="n">
        <v>174</v>
      </c>
      <c r="C259" s="9" t="inlineStr">
        <is>
          <t>Cartucho Colorido Premium (Modelo 10)</t>
        </is>
      </c>
      <c r="D259" s="9" t="inlineStr">
        <is>
          <t>Impressão</t>
        </is>
      </c>
      <c r="E259" s="10" t="inlineStr">
        <is>
          <t>2025-08-03</t>
        </is>
      </c>
      <c r="F259" s="11" t="n">
        <v>1395</v>
      </c>
      <c r="G259" s="11" t="n">
        <v>1395</v>
      </c>
      <c r="H259" s="11">
        <f>G259-F259</f>
        <v/>
      </c>
      <c r="I259" s="12">
        <f>H259/F259</f>
        <v/>
      </c>
      <c r="J259" s="9" t="inlineStr">
        <is>
          <t>Ricardo Mendes</t>
        </is>
      </c>
      <c r="K259" s="13" t="inlineStr">
        <is>
          <t>C02</t>
        </is>
      </c>
      <c r="L259" s="13">
        <f>IF(H259=0, "Correto", "Divergente")</f>
        <v/>
      </c>
    </row>
    <row r="260">
      <c r="A260" s="2" t="n">
        <v>259</v>
      </c>
      <c r="B260" s="2" t="n">
        <v>72</v>
      </c>
      <c r="C260" s="3" t="inlineStr">
        <is>
          <t>Teclado Sem Fio Ergológico (Modelo 13)</t>
        </is>
      </c>
      <c r="D260" s="3" t="inlineStr">
        <is>
          <t>Periféricos</t>
        </is>
      </c>
      <c r="E260" s="4" t="inlineStr">
        <is>
          <t>2026-07-30</t>
        </is>
      </c>
      <c r="F260" s="5" t="n">
        <v>4242</v>
      </c>
      <c r="G260" s="5" t="n">
        <v>4409</v>
      </c>
      <c r="H260" s="5">
        <f>G260-F260</f>
        <v/>
      </c>
      <c r="I260" s="6">
        <f>H260/F260</f>
        <v/>
      </c>
      <c r="J260" s="3" t="inlineStr">
        <is>
          <t>Mariana Alcantara</t>
        </is>
      </c>
      <c r="K260" s="7" t="inlineStr">
        <is>
          <t>C03</t>
        </is>
      </c>
      <c r="L260" s="7">
        <f>IF(H260=0, "Correto", "Divergente")</f>
        <v/>
      </c>
    </row>
    <row r="261">
      <c r="A261" s="8" t="n">
        <v>260</v>
      </c>
      <c r="B261" s="8" t="n">
        <v>33</v>
      </c>
      <c r="C261" s="9" t="inlineStr">
        <is>
          <t>Monitor 27" Curvo 144Hz (Modelo 4)</t>
        </is>
      </c>
      <c r="D261" s="9" t="inlineStr">
        <is>
          <t>Monitores</t>
        </is>
      </c>
      <c r="E261" s="10" t="inlineStr">
        <is>
          <t>2025-06-28</t>
        </is>
      </c>
      <c r="F261" s="11" t="n">
        <v>2183</v>
      </c>
      <c r="G261" s="11" t="n">
        <v>2183</v>
      </c>
      <c r="H261" s="11">
        <f>G261-F261</f>
        <v/>
      </c>
      <c r="I261" s="12">
        <f>H261/F261</f>
        <v/>
      </c>
      <c r="J261" s="9" t="inlineStr">
        <is>
          <t>Roberto Fernandes</t>
        </is>
      </c>
      <c r="K261" s="13" t="inlineStr">
        <is>
          <t>C01</t>
        </is>
      </c>
      <c r="L261" s="13">
        <f>IF(H261=0, "Correto", "Divergente")</f>
        <v/>
      </c>
    </row>
    <row r="262">
      <c r="A262" s="2" t="n">
        <v>261</v>
      </c>
      <c r="B262" s="2" t="n">
        <v>24</v>
      </c>
      <c r="C262" s="3" t="inlineStr">
        <is>
          <t>Cartucho Colorido Premium (Modelo 10)</t>
        </is>
      </c>
      <c r="D262" s="3" t="inlineStr">
        <is>
          <t>Impressão</t>
        </is>
      </c>
      <c r="E262" s="4" t="inlineStr">
        <is>
          <t>2026-01-28</t>
        </is>
      </c>
      <c r="F262" s="5" t="n">
        <v>3309</v>
      </c>
      <c r="G262" s="5" t="n">
        <v>3147</v>
      </c>
      <c r="H262" s="5">
        <f>G262-F262</f>
        <v/>
      </c>
      <c r="I262" s="6">
        <f>H262/F262</f>
        <v/>
      </c>
      <c r="J262" s="3" t="inlineStr">
        <is>
          <t>Marcelo Fontes</t>
        </is>
      </c>
      <c r="K262" s="7" t="inlineStr">
        <is>
          <t>A01</t>
        </is>
      </c>
      <c r="L262" s="7">
        <f>IF(H262=0, "Correto", "Divergente")</f>
        <v/>
      </c>
    </row>
    <row r="263">
      <c r="A263" s="8" t="n">
        <v>262</v>
      </c>
      <c r="B263" s="8" t="n">
        <v>18</v>
      </c>
      <c r="C263" s="9" t="inlineStr">
        <is>
          <t>Repetidor Wi-Fi 1200Mbps (Modelo 4)</t>
        </is>
      </c>
      <c r="D263" s="9" t="inlineStr">
        <is>
          <t>Redes</t>
        </is>
      </c>
      <c r="E263" s="10" t="inlineStr">
        <is>
          <t>2024-04-22</t>
        </is>
      </c>
      <c r="F263" s="11" t="n">
        <v>131</v>
      </c>
      <c r="G263" s="11" t="n">
        <v>114</v>
      </c>
      <c r="H263" s="11">
        <f>G263-F263</f>
        <v/>
      </c>
      <c r="I263" s="12">
        <f>H263/F263</f>
        <v/>
      </c>
      <c r="J263" s="9" t="inlineStr">
        <is>
          <t>Beatriz Castilho</t>
        </is>
      </c>
      <c r="K263" s="13" t="inlineStr">
        <is>
          <t>A03</t>
        </is>
      </c>
      <c r="L263" s="13">
        <f>IF(H263=0, "Correto", "Divergente")</f>
        <v/>
      </c>
    </row>
    <row r="264">
      <c r="A264" s="2" t="n">
        <v>263</v>
      </c>
      <c r="B264" s="2" t="n">
        <v>5</v>
      </c>
      <c r="C264" s="3" t="inlineStr">
        <is>
          <t>Caixa de Som Bluetooth Portátil (Modelo 6)</t>
        </is>
      </c>
      <c r="D264" s="3" t="inlineStr">
        <is>
          <t>Áudio</t>
        </is>
      </c>
      <c r="E264" s="4" t="inlineStr">
        <is>
          <t>2024-02-13</t>
        </is>
      </c>
      <c r="F264" s="5" t="n">
        <v>4011</v>
      </c>
      <c r="G264" s="5" t="n">
        <v>4011</v>
      </c>
      <c r="H264" s="5">
        <f>G264-F264</f>
        <v/>
      </c>
      <c r="I264" s="6">
        <f>H264/F264</f>
        <v/>
      </c>
      <c r="J264" s="3" t="inlineStr">
        <is>
          <t>Carlos Eduardo Rocha</t>
        </is>
      </c>
      <c r="K264" s="7" t="inlineStr">
        <is>
          <t>Depósito Externo</t>
        </is>
      </c>
      <c r="L264" s="7">
        <f>IF(H264=0, "Correto", "Divergente")</f>
        <v/>
      </c>
    </row>
    <row r="265">
      <c r="A265" s="8" t="n">
        <v>264</v>
      </c>
      <c r="B265" s="8" t="n">
        <v>28</v>
      </c>
      <c r="C265" s="9" t="inlineStr">
        <is>
          <t>Access Point Wi-Fi Corporativo (Modelo 14)</t>
        </is>
      </c>
      <c r="D265" s="9" t="inlineStr">
        <is>
          <t>Redes</t>
        </is>
      </c>
      <c r="E265" s="10" t="inlineStr">
        <is>
          <t>2026-06-27</t>
        </is>
      </c>
      <c r="F265" s="11" t="n">
        <v>417</v>
      </c>
      <c r="G265" s="11" t="n">
        <v>417</v>
      </c>
      <c r="H265" s="11">
        <f>G265-F265</f>
        <v/>
      </c>
      <c r="I265" s="12">
        <f>H265/F265</f>
        <v/>
      </c>
      <c r="J265" s="9" t="inlineStr">
        <is>
          <t>Camila Azevedo</t>
        </is>
      </c>
      <c r="K265" s="13" t="inlineStr">
        <is>
          <t>A03</t>
        </is>
      </c>
      <c r="L265" s="13">
        <f>IF(H265=0, "Correto", "Divergente")</f>
        <v/>
      </c>
    </row>
    <row r="266">
      <c r="A266" s="2" t="n">
        <v>265</v>
      </c>
      <c r="B266" s="2" t="n">
        <v>127</v>
      </c>
      <c r="C266" s="3" t="inlineStr">
        <is>
          <t>Smartphone Empresarial 128GB (Modelo 8)</t>
        </is>
      </c>
      <c r="D266" s="3" t="inlineStr">
        <is>
          <t>Smartphones</t>
        </is>
      </c>
      <c r="E266" s="4" t="inlineStr">
        <is>
          <t>2025-02-15</t>
        </is>
      </c>
      <c r="F266" s="5" t="n">
        <v>1793</v>
      </c>
      <c r="G266" s="5" t="n">
        <v>1793</v>
      </c>
      <c r="H266" s="5">
        <f>G266-F266</f>
        <v/>
      </c>
      <c r="I266" s="6">
        <f>H266/F266</f>
        <v/>
      </c>
      <c r="J266" s="3" t="inlineStr">
        <is>
          <t>Patricia Prado</t>
        </is>
      </c>
      <c r="K266" s="7" t="inlineStr">
        <is>
          <t>A01</t>
        </is>
      </c>
      <c r="L266" s="7">
        <f>IF(H266=0, "Correto", "Divergente")</f>
        <v/>
      </c>
    </row>
    <row r="267">
      <c r="A267" s="8" t="n">
        <v>266</v>
      </c>
      <c r="B267" s="8" t="n">
        <v>52</v>
      </c>
      <c r="C267" s="9" t="inlineStr">
        <is>
          <t>Mouse Óptico USB (Modelo 8)</t>
        </is>
      </c>
      <c r="D267" s="9" t="inlineStr">
        <is>
          <t>Periféricos</t>
        </is>
      </c>
      <c r="E267" s="10" t="inlineStr">
        <is>
          <t>2024-03-15</t>
        </is>
      </c>
      <c r="F267" s="11" t="n">
        <v>2555</v>
      </c>
      <c r="G267" s="11" t="n">
        <v>2555</v>
      </c>
      <c r="H267" s="11">
        <f>G267-F267</f>
        <v/>
      </c>
      <c r="I267" s="12">
        <f>H267/F267</f>
        <v/>
      </c>
      <c r="J267" s="9" t="inlineStr">
        <is>
          <t>Marcelo Fontes</t>
        </is>
      </c>
      <c r="K267" s="13" t="inlineStr">
        <is>
          <t>C02</t>
        </is>
      </c>
      <c r="L267" s="13">
        <f>IF(H267=0, "Correto", "Divergente")</f>
        <v/>
      </c>
    </row>
    <row r="268">
      <c r="A268" s="2" t="n">
        <v>267</v>
      </c>
      <c r="B268" s="2" t="n">
        <v>115</v>
      </c>
      <c r="C268" s="3" t="inlineStr">
        <is>
          <t>Headset USB com Cancelamento de Ruído (Modelo 11)</t>
        </is>
      </c>
      <c r="D268" s="3" t="inlineStr">
        <is>
          <t>Áudio</t>
        </is>
      </c>
      <c r="E268" s="4" t="inlineStr">
        <is>
          <t>2026-12-19</t>
        </is>
      </c>
      <c r="F268" s="5" t="n">
        <v>790</v>
      </c>
      <c r="G268" s="5" t="n">
        <v>802</v>
      </c>
      <c r="H268" s="5">
        <f>G268-F268</f>
        <v/>
      </c>
      <c r="I268" s="6">
        <f>H268/F268</f>
        <v/>
      </c>
      <c r="J268" s="3" t="inlineStr">
        <is>
          <t>Mariana Alcantara</t>
        </is>
      </c>
      <c r="K268" s="7" t="inlineStr">
        <is>
          <t>A02</t>
        </is>
      </c>
      <c r="L268" s="7">
        <f>IF(H268=0, "Correto", "Divergente")</f>
        <v/>
      </c>
    </row>
    <row r="269">
      <c r="A269" s="8" t="n">
        <v>268</v>
      </c>
      <c r="B269" s="8" t="n">
        <v>79</v>
      </c>
      <c r="C269" s="9" t="inlineStr">
        <is>
          <t>Cabo DisplayPort 1.4 1.8m (Modelo 5)</t>
        </is>
      </c>
      <c r="D269" s="9" t="inlineStr">
        <is>
          <t>Acessórios</t>
        </is>
      </c>
      <c r="E269" s="10" t="inlineStr">
        <is>
          <t>2026-03-31</t>
        </is>
      </c>
      <c r="F269" s="11" t="n">
        <v>1953</v>
      </c>
      <c r="G269" s="11" t="n">
        <v>1953</v>
      </c>
      <c r="H269" s="11">
        <f>G269-F269</f>
        <v/>
      </c>
      <c r="I269" s="12">
        <f>H269/F269</f>
        <v/>
      </c>
      <c r="J269" s="9" t="inlineStr">
        <is>
          <t>Mariana Alcantara</t>
        </is>
      </c>
      <c r="K269" s="13" t="inlineStr">
        <is>
          <t>A01</t>
        </is>
      </c>
      <c r="L269" s="13">
        <f>IF(H269=0, "Correto", "Divergente")</f>
        <v/>
      </c>
    </row>
    <row r="270">
      <c r="A270" s="2" t="n">
        <v>269</v>
      </c>
      <c r="B270" s="2" t="n">
        <v>48</v>
      </c>
      <c r="C270" s="3" t="inlineStr">
        <is>
          <t>Repetidor Wi-Fi 1200Mbps (Modelo 4)</t>
        </is>
      </c>
      <c r="D270" s="3" t="inlineStr">
        <is>
          <t>Redes</t>
        </is>
      </c>
      <c r="E270" s="4" t="inlineStr">
        <is>
          <t>2024-02-28</t>
        </is>
      </c>
      <c r="F270" s="5" t="n">
        <v>2010</v>
      </c>
      <c r="G270" s="5" t="n">
        <v>2010</v>
      </c>
      <c r="H270" s="5">
        <f>G270-F270</f>
        <v/>
      </c>
      <c r="I270" s="6">
        <f>H270/F270</f>
        <v/>
      </c>
      <c r="J270" s="3" t="inlineStr">
        <is>
          <t>Carlos Eduardo Rocha</t>
        </is>
      </c>
      <c r="K270" s="7" t="inlineStr">
        <is>
          <t>A01</t>
        </is>
      </c>
      <c r="L270" s="7">
        <f>IF(H270=0, "Correto", "Divergente")</f>
        <v/>
      </c>
    </row>
    <row r="271">
      <c r="A271" s="8" t="n">
        <v>270</v>
      </c>
      <c r="B271" s="8" t="n">
        <v>79</v>
      </c>
      <c r="C271" s="9" t="inlineStr">
        <is>
          <t>Cabo DisplayPort 1.4 1.8m (Modelo 5)</t>
        </is>
      </c>
      <c r="D271" s="9" t="inlineStr">
        <is>
          <t>Acessórios</t>
        </is>
      </c>
      <c r="E271" s="10" t="inlineStr">
        <is>
          <t>2024-01-12</t>
        </is>
      </c>
      <c r="F271" s="11" t="n">
        <v>1689</v>
      </c>
      <c r="G271" s="11" t="n">
        <v>1689</v>
      </c>
      <c r="H271" s="11">
        <f>G271-F271</f>
        <v/>
      </c>
      <c r="I271" s="12">
        <f>H271/F271</f>
        <v/>
      </c>
      <c r="J271" s="9" t="inlineStr">
        <is>
          <t>Carlos Eduardo Rocha</t>
        </is>
      </c>
      <c r="K271" s="13" t="inlineStr">
        <is>
          <t>B02</t>
        </is>
      </c>
      <c r="L271" s="13">
        <f>IF(H271=0, "Correto", "Divergente")</f>
        <v/>
      </c>
    </row>
    <row r="272">
      <c r="A272" s="2" t="n">
        <v>271</v>
      </c>
      <c r="B272" s="2" t="n">
        <v>43</v>
      </c>
      <c r="C272" s="3" t="inlineStr">
        <is>
          <t>Monitor LED 21.5" Full HD (Modelo 14)</t>
        </is>
      </c>
      <c r="D272" s="3" t="inlineStr">
        <is>
          <t>Monitores</t>
        </is>
      </c>
      <c r="E272" s="4" t="inlineStr">
        <is>
          <t>2026-03-09</t>
        </is>
      </c>
      <c r="F272" s="5" t="n">
        <v>1613</v>
      </c>
      <c r="G272" s="5" t="n">
        <v>1555</v>
      </c>
      <c r="H272" s="5">
        <f>G272-F272</f>
        <v/>
      </c>
      <c r="I272" s="6">
        <f>H272/F272</f>
        <v/>
      </c>
      <c r="J272" s="3" t="inlineStr">
        <is>
          <t>Gustavo Silveira</t>
        </is>
      </c>
      <c r="K272" s="7" t="inlineStr">
        <is>
          <t>C02</t>
        </is>
      </c>
      <c r="L272" s="7">
        <f>IF(H272=0, "Correto", "Divergente")</f>
        <v/>
      </c>
    </row>
    <row r="273">
      <c r="A273" s="8" t="n">
        <v>272</v>
      </c>
      <c r="B273" s="8" t="n">
        <v>26</v>
      </c>
      <c r="C273" s="9" t="inlineStr">
        <is>
          <t>SSD NVMe 1TB M.2 (Modelo 12)</t>
        </is>
      </c>
      <c r="D273" s="9" t="inlineStr">
        <is>
          <t>Armazenamento</t>
        </is>
      </c>
      <c r="E273" s="10" t="inlineStr">
        <is>
          <t>2025-11-21</t>
        </is>
      </c>
      <c r="F273" s="11" t="n">
        <v>2880</v>
      </c>
      <c r="G273" s="11" t="n">
        <v>2880</v>
      </c>
      <c r="H273" s="11">
        <f>G273-F273</f>
        <v/>
      </c>
      <c r="I273" s="12">
        <f>H273/F273</f>
        <v/>
      </c>
      <c r="J273" s="9" t="inlineStr">
        <is>
          <t>Camila Azevedo</t>
        </is>
      </c>
      <c r="K273" s="13" t="inlineStr">
        <is>
          <t>B01</t>
        </is>
      </c>
      <c r="L273" s="13">
        <f>IF(H273=0, "Correto", "Divergente")</f>
        <v/>
      </c>
    </row>
    <row r="274">
      <c r="A274" s="2" t="n">
        <v>273</v>
      </c>
      <c r="B274" s="2" t="n">
        <v>12</v>
      </c>
      <c r="C274" s="3" t="inlineStr">
        <is>
          <t>Combo Teclado e Mouse (Modelo 13)</t>
        </is>
      </c>
      <c r="D274" s="3" t="inlineStr">
        <is>
          <t>Periféricos</t>
        </is>
      </c>
      <c r="E274" s="4" t="inlineStr">
        <is>
          <t>2024-06-16</t>
        </is>
      </c>
      <c r="F274" s="5" t="n">
        <v>1133</v>
      </c>
      <c r="G274" s="5" t="n">
        <v>1133</v>
      </c>
      <c r="H274" s="5">
        <f>G274-F274</f>
        <v/>
      </c>
      <c r="I274" s="6">
        <f>H274/F274</f>
        <v/>
      </c>
      <c r="J274" s="3" t="inlineStr">
        <is>
          <t>Carlos Eduardo Rocha</t>
        </is>
      </c>
      <c r="K274" s="7" t="inlineStr">
        <is>
          <t>C03</t>
        </is>
      </c>
      <c r="L274" s="7">
        <f>IF(H274=0, "Correto", "Divergente")</f>
        <v/>
      </c>
    </row>
    <row r="275">
      <c r="A275" s="8" t="n">
        <v>274</v>
      </c>
      <c r="B275" s="8" t="n">
        <v>181</v>
      </c>
      <c r="C275" s="9" t="inlineStr">
        <is>
          <t>Mini PC Ryzen 5 (Modelo 2)</t>
        </is>
      </c>
      <c r="D275" s="9" t="inlineStr">
        <is>
          <t>Informática</t>
        </is>
      </c>
      <c r="E275" s="10" t="inlineStr">
        <is>
          <t>2024-07-10</t>
        </is>
      </c>
      <c r="F275" s="11" t="n">
        <v>1227</v>
      </c>
      <c r="G275" s="11" t="n">
        <v>1276</v>
      </c>
      <c r="H275" s="11">
        <f>G275-F275</f>
        <v/>
      </c>
      <c r="I275" s="12">
        <f>H275/F275</f>
        <v/>
      </c>
      <c r="J275" s="9" t="inlineStr">
        <is>
          <t>Patricia Prado</t>
        </is>
      </c>
      <c r="K275" s="13" t="inlineStr">
        <is>
          <t>C02</t>
        </is>
      </c>
      <c r="L275" s="13">
        <f>IF(H275=0, "Correto", "Divergente")</f>
        <v/>
      </c>
    </row>
    <row r="276">
      <c r="A276" s="2" t="n">
        <v>275</v>
      </c>
      <c r="B276" s="2" t="n">
        <v>6</v>
      </c>
      <c r="C276" s="3" t="inlineStr">
        <is>
          <t>Cartão de Memória MicroSD 128GB (Modelo 7)</t>
        </is>
      </c>
      <c r="D276" s="3" t="inlineStr">
        <is>
          <t>Armazenamento</t>
        </is>
      </c>
      <c r="E276" s="4" t="inlineStr">
        <is>
          <t>2025-11-25</t>
        </is>
      </c>
      <c r="F276" s="5" t="n">
        <v>4087</v>
      </c>
      <c r="G276" s="5" t="n">
        <v>4087</v>
      </c>
      <c r="H276" s="5">
        <f>G276-F276</f>
        <v/>
      </c>
      <c r="I276" s="6">
        <f>H276/F276</f>
        <v/>
      </c>
      <c r="J276" s="3" t="inlineStr">
        <is>
          <t>Roberto Fernandes</t>
        </is>
      </c>
      <c r="K276" s="7" t="inlineStr">
        <is>
          <t>Depósito Externo</t>
        </is>
      </c>
      <c r="L276" s="7">
        <f>IF(H276=0, "Correto", "Divergente")</f>
        <v/>
      </c>
    </row>
    <row r="277">
      <c r="A277" s="8" t="n">
        <v>276</v>
      </c>
      <c r="B277" s="8" t="n">
        <v>182</v>
      </c>
      <c r="C277" s="9" t="inlineStr">
        <is>
          <t>Mesa Digitalizadora (Modelo 3)</t>
        </is>
      </c>
      <c r="D277" s="9" t="inlineStr">
        <is>
          <t>Periféricos</t>
        </is>
      </c>
      <c r="E277" s="10" t="inlineStr">
        <is>
          <t>2024-12-13</t>
        </is>
      </c>
      <c r="F277" s="11" t="n">
        <v>1670</v>
      </c>
      <c r="G277" s="11" t="n">
        <v>1670</v>
      </c>
      <c r="H277" s="11">
        <f>G277-F277</f>
        <v/>
      </c>
      <c r="I277" s="12">
        <f>H277/F277</f>
        <v/>
      </c>
      <c r="J277" s="9" t="inlineStr">
        <is>
          <t>Marcelo Fontes</t>
        </is>
      </c>
      <c r="K277" s="13" t="inlineStr">
        <is>
          <t>A02</t>
        </is>
      </c>
      <c r="L277" s="13">
        <f>IF(H277=0, "Correto", "Divergente")</f>
        <v/>
      </c>
    </row>
    <row r="278">
      <c r="A278" s="2" t="n">
        <v>277</v>
      </c>
      <c r="B278" s="2" t="n">
        <v>189</v>
      </c>
      <c r="C278" s="3" t="inlineStr">
        <is>
          <t>Mousepad Extra Grande (Modelo 10)</t>
        </is>
      </c>
      <c r="D278" s="3" t="inlineStr">
        <is>
          <t>Acessórios</t>
        </is>
      </c>
      <c r="E278" s="4" t="inlineStr">
        <is>
          <t>2025-01-24</t>
        </is>
      </c>
      <c r="F278" s="5" t="n">
        <v>1611</v>
      </c>
      <c r="G278" s="5" t="n">
        <v>1611</v>
      </c>
      <c r="H278" s="5">
        <f>G278-F278</f>
        <v/>
      </c>
      <c r="I278" s="6">
        <f>H278/F278</f>
        <v/>
      </c>
      <c r="J278" s="3" t="inlineStr">
        <is>
          <t>Roberto Fernandes</t>
        </is>
      </c>
      <c r="K278" s="7" t="inlineStr">
        <is>
          <t>C02</t>
        </is>
      </c>
      <c r="L278" s="7">
        <f>IF(H278=0, "Correto", "Divergente")</f>
        <v/>
      </c>
    </row>
    <row r="279">
      <c r="A279" s="8" t="n">
        <v>278</v>
      </c>
      <c r="B279" s="8" t="n">
        <v>176</v>
      </c>
      <c r="C279" s="9" t="inlineStr">
        <is>
          <t>SSD NVMe 1TB M.2 (Modelo 12)</t>
        </is>
      </c>
      <c r="D279" s="9" t="inlineStr">
        <is>
          <t>Armazenamento</t>
        </is>
      </c>
      <c r="E279" s="10" t="inlineStr">
        <is>
          <t>2024-07-25</t>
        </is>
      </c>
      <c r="F279" s="11" t="n">
        <v>4196</v>
      </c>
      <c r="G279" s="11" t="n">
        <v>4196</v>
      </c>
      <c r="H279" s="11">
        <f>G279-F279</f>
        <v/>
      </c>
      <c r="I279" s="12">
        <f>H279/F279</f>
        <v/>
      </c>
      <c r="J279" s="9" t="inlineStr">
        <is>
          <t>Beatriz Castilho</t>
        </is>
      </c>
      <c r="K279" s="13" t="inlineStr">
        <is>
          <t>C03</t>
        </is>
      </c>
      <c r="L279" s="13">
        <f>IF(H279=0, "Correto", "Divergente")</f>
        <v/>
      </c>
    </row>
    <row r="280">
      <c r="A280" s="2" t="n">
        <v>279</v>
      </c>
      <c r="B280" s="2" t="n">
        <v>31</v>
      </c>
      <c r="C280" s="3" t="inlineStr">
        <is>
          <t>Chromebook 11.6" (Modelo 2)</t>
        </is>
      </c>
      <c r="D280" s="3" t="inlineStr">
        <is>
          <t>Informática</t>
        </is>
      </c>
      <c r="E280" s="4" t="inlineStr">
        <is>
          <t>2024-10-04</t>
        </is>
      </c>
      <c r="F280" s="5" t="n">
        <v>4784</v>
      </c>
      <c r="G280" s="5" t="n">
        <v>4849</v>
      </c>
      <c r="H280" s="5">
        <f>G280-F280</f>
        <v/>
      </c>
      <c r="I280" s="6">
        <f>H280/F280</f>
        <v/>
      </c>
      <c r="J280" s="3" t="inlineStr">
        <is>
          <t>Camila Azevedo</t>
        </is>
      </c>
      <c r="K280" s="7" t="inlineStr">
        <is>
          <t>A02</t>
        </is>
      </c>
      <c r="L280" s="7">
        <f>IF(H280=0, "Correto", "Divergente")</f>
        <v/>
      </c>
    </row>
    <row r="281">
      <c r="A281" s="8" t="n">
        <v>280</v>
      </c>
      <c r="B281" s="8" t="n">
        <v>75</v>
      </c>
      <c r="C281" s="9" t="inlineStr">
        <is>
          <t>Caixa de Som USB 10W (Modelo 1)</t>
        </is>
      </c>
      <c r="D281" s="9" t="inlineStr">
        <is>
          <t>Áudio</t>
        </is>
      </c>
      <c r="E281" s="10" t="inlineStr">
        <is>
          <t>2026-09-28</t>
        </is>
      </c>
      <c r="F281" s="11" t="n">
        <v>190</v>
      </c>
      <c r="G281" s="11" t="n">
        <v>190</v>
      </c>
      <c r="H281" s="11">
        <f>G281-F281</f>
        <v/>
      </c>
      <c r="I281" s="12">
        <f>H281/F281</f>
        <v/>
      </c>
      <c r="J281" s="9" t="inlineStr">
        <is>
          <t>Patricia Prado</t>
        </is>
      </c>
      <c r="K281" s="13" t="inlineStr">
        <is>
          <t>B03</t>
        </is>
      </c>
      <c r="L281" s="13">
        <f>IF(H281=0, "Correto", "Divergente")</f>
        <v/>
      </c>
    </row>
    <row r="282">
      <c r="A282" s="2" t="n">
        <v>281</v>
      </c>
      <c r="B282" s="2" t="n">
        <v>81</v>
      </c>
      <c r="C282" s="3" t="inlineStr">
        <is>
          <t>Notebook Corporate i5 16GB (Modelo 7)</t>
        </is>
      </c>
      <c r="D282" s="3" t="inlineStr">
        <is>
          <t>Informática</t>
        </is>
      </c>
      <c r="E282" s="4" t="inlineStr">
        <is>
          <t>2025-06-16</t>
        </is>
      </c>
      <c r="F282" s="5" t="n">
        <v>4464</v>
      </c>
      <c r="G282" s="5" t="n">
        <v>3910</v>
      </c>
      <c r="H282" s="5">
        <f>G282-F282</f>
        <v/>
      </c>
      <c r="I282" s="6">
        <f>H282/F282</f>
        <v/>
      </c>
      <c r="J282" s="3" t="inlineStr">
        <is>
          <t>Gustavo Silveira</t>
        </is>
      </c>
      <c r="K282" s="7" t="inlineStr">
        <is>
          <t>C01</t>
        </is>
      </c>
      <c r="L282" s="7">
        <f>IF(H282=0, "Correto", "Divergente")</f>
        <v/>
      </c>
    </row>
    <row r="283">
      <c r="A283" s="8" t="n">
        <v>282</v>
      </c>
      <c r="B283" s="8" t="n">
        <v>59</v>
      </c>
      <c r="C283" s="9" t="inlineStr">
        <is>
          <t>Filtro de Linha 6 Tomadas (Modelo 15)</t>
        </is>
      </c>
      <c r="D283" s="9" t="inlineStr">
        <is>
          <t>Acessórios</t>
        </is>
      </c>
      <c r="E283" s="10" t="inlineStr">
        <is>
          <t>2025-11-06</t>
        </is>
      </c>
      <c r="F283" s="11" t="n">
        <v>790</v>
      </c>
      <c r="G283" s="11" t="n">
        <v>790</v>
      </c>
      <c r="H283" s="11">
        <f>G283-F283</f>
        <v/>
      </c>
      <c r="I283" s="12">
        <f>H283/F283</f>
        <v/>
      </c>
      <c r="J283" s="9" t="inlineStr">
        <is>
          <t>Gustavo Silveira</t>
        </is>
      </c>
      <c r="K283" s="13" t="inlineStr">
        <is>
          <t>C03</t>
        </is>
      </c>
      <c r="L283" s="13">
        <f>IF(H283=0, "Correto", "Divergente")</f>
        <v/>
      </c>
    </row>
    <row r="284">
      <c r="A284" s="2" t="n">
        <v>283</v>
      </c>
      <c r="B284" s="2" t="n">
        <v>38</v>
      </c>
      <c r="C284" s="3" t="inlineStr">
        <is>
          <t>Switch Gigabit 16 Portas (Modelo 9)</t>
        </is>
      </c>
      <c r="D284" s="3" t="inlineStr">
        <is>
          <t>Redes</t>
        </is>
      </c>
      <c r="E284" s="4" t="inlineStr">
        <is>
          <t>2025-10-10</t>
        </is>
      </c>
      <c r="F284" s="5" t="n">
        <v>4766</v>
      </c>
      <c r="G284" s="5" t="n">
        <v>4766</v>
      </c>
      <c r="H284" s="5">
        <f>G284-F284</f>
        <v/>
      </c>
      <c r="I284" s="6">
        <f>H284/F284</f>
        <v/>
      </c>
      <c r="J284" s="3" t="inlineStr">
        <is>
          <t>Ricardo Mendes</t>
        </is>
      </c>
      <c r="K284" s="7" t="inlineStr">
        <is>
          <t>C03</t>
        </is>
      </c>
      <c r="L284" s="7">
        <f>IF(H284=0, "Correto", "Divergente")</f>
        <v/>
      </c>
    </row>
    <row r="285">
      <c r="A285" s="8" t="n">
        <v>284</v>
      </c>
      <c r="B285" s="8" t="n">
        <v>186</v>
      </c>
      <c r="C285" s="9" t="inlineStr">
        <is>
          <t>Cartão de Memória MicroSD 128GB (Modelo 7)</t>
        </is>
      </c>
      <c r="D285" s="9" t="inlineStr">
        <is>
          <t>Armazenamento</t>
        </is>
      </c>
      <c r="E285" s="10" t="inlineStr">
        <is>
          <t>2024-07-05</t>
        </is>
      </c>
      <c r="F285" s="11" t="n">
        <v>1132</v>
      </c>
      <c r="G285" s="11" t="n">
        <v>1132</v>
      </c>
      <c r="H285" s="11">
        <f>G285-F285</f>
        <v/>
      </c>
      <c r="I285" s="12">
        <f>H285/F285</f>
        <v/>
      </c>
      <c r="J285" s="9" t="inlineStr">
        <is>
          <t>Patricia Prado</t>
        </is>
      </c>
      <c r="K285" s="13" t="inlineStr">
        <is>
          <t>A03</t>
        </is>
      </c>
      <c r="L285" s="13">
        <f>IF(H285=0, "Correto", "Divergente")</f>
        <v/>
      </c>
    </row>
    <row r="286">
      <c r="A286" s="2" t="n">
        <v>285</v>
      </c>
      <c r="B286" s="2" t="n">
        <v>97</v>
      </c>
      <c r="C286" s="3" t="inlineStr">
        <is>
          <t>Smartphone Empresarial 128GB (Modelo 8)</t>
        </is>
      </c>
      <c r="D286" s="3" t="inlineStr">
        <is>
          <t>Smartphones</t>
        </is>
      </c>
      <c r="E286" s="4" t="inlineStr">
        <is>
          <t>2025-06-27</t>
        </is>
      </c>
      <c r="F286" s="5" t="n">
        <v>1837</v>
      </c>
      <c r="G286" s="5" t="n">
        <v>1850</v>
      </c>
      <c r="H286" s="5">
        <f>G286-F286</f>
        <v/>
      </c>
      <c r="I286" s="6">
        <f>H286/F286</f>
        <v/>
      </c>
      <c r="J286" s="3" t="inlineStr">
        <is>
          <t>Gustavo Silveira</t>
        </is>
      </c>
      <c r="K286" s="7" t="inlineStr">
        <is>
          <t>A03</t>
        </is>
      </c>
      <c r="L286" s="7">
        <f>IF(H286=0, "Correto", "Divergente")</f>
        <v/>
      </c>
    </row>
    <row r="287">
      <c r="A287" s="8" t="n">
        <v>286</v>
      </c>
      <c r="B287" s="8" t="n">
        <v>133</v>
      </c>
      <c r="C287" s="9" t="inlineStr">
        <is>
          <t>Monitor LED 21.5" Full HD (Modelo 14)</t>
        </is>
      </c>
      <c r="D287" s="9" t="inlineStr">
        <is>
          <t>Monitores</t>
        </is>
      </c>
      <c r="E287" s="10" t="inlineStr">
        <is>
          <t>2024-12-14</t>
        </is>
      </c>
      <c r="F287" s="11" t="n">
        <v>4691</v>
      </c>
      <c r="G287" s="11" t="n">
        <v>4691</v>
      </c>
      <c r="H287" s="11">
        <f>G287-F287</f>
        <v/>
      </c>
      <c r="I287" s="12">
        <f>H287/F287</f>
        <v/>
      </c>
      <c r="J287" s="9" t="inlineStr">
        <is>
          <t>Camila Azevedo</t>
        </is>
      </c>
      <c r="K287" s="13" t="inlineStr">
        <is>
          <t>A03</t>
        </is>
      </c>
      <c r="L287" s="13">
        <f>IF(H287=0, "Correto", "Divergente")</f>
        <v/>
      </c>
    </row>
    <row r="288">
      <c r="A288" s="2" t="n">
        <v>287</v>
      </c>
      <c r="B288" s="2" t="n">
        <v>4</v>
      </c>
      <c r="C288" s="3" t="inlineStr">
        <is>
          <t>Toner HP Preto Original (Modelo 5)</t>
        </is>
      </c>
      <c r="D288" s="3" t="inlineStr">
        <is>
          <t>Impressão</t>
        </is>
      </c>
      <c r="E288" s="4" t="inlineStr">
        <is>
          <t>2026-12-16</t>
        </is>
      </c>
      <c r="F288" s="5" t="n">
        <v>1099</v>
      </c>
      <c r="G288" s="5" t="n">
        <v>1099</v>
      </c>
      <c r="H288" s="5">
        <f>G288-F288</f>
        <v/>
      </c>
      <c r="I288" s="6">
        <f>H288/F288</f>
        <v/>
      </c>
      <c r="J288" s="3" t="inlineStr">
        <is>
          <t>Ricardo Mendes</t>
        </is>
      </c>
      <c r="K288" s="7" t="inlineStr">
        <is>
          <t>A03</t>
        </is>
      </c>
      <c r="L288" s="7">
        <f>IF(H288=0, "Correto", "Divergente")</f>
        <v/>
      </c>
    </row>
    <row r="289">
      <c r="A289" s="8" t="n">
        <v>288</v>
      </c>
      <c r="B289" s="8" t="n">
        <v>162</v>
      </c>
      <c r="C289" s="9" t="inlineStr">
        <is>
          <t>Teclado Mecânico RGB (Modelo 13)</t>
        </is>
      </c>
      <c r="D289" s="9" t="inlineStr">
        <is>
          <t>Periféricos</t>
        </is>
      </c>
      <c r="E289" s="10" t="inlineStr">
        <is>
          <t>2024-11-12</t>
        </is>
      </c>
      <c r="F289" s="11" t="n">
        <v>222</v>
      </c>
      <c r="G289" s="11" t="n">
        <v>222</v>
      </c>
      <c r="H289" s="11">
        <f>G289-F289</f>
        <v/>
      </c>
      <c r="I289" s="12">
        <f>H289/F289</f>
        <v/>
      </c>
      <c r="J289" s="9" t="inlineStr">
        <is>
          <t>Roberto Fernandes</t>
        </is>
      </c>
      <c r="K289" s="13" t="inlineStr">
        <is>
          <t>C01</t>
        </is>
      </c>
      <c r="L289" s="13">
        <f>IF(H289=0, "Correto", "Divergente")</f>
        <v/>
      </c>
    </row>
    <row r="290">
      <c r="A290" s="2" t="n">
        <v>289</v>
      </c>
      <c r="B290" s="2" t="n">
        <v>42</v>
      </c>
      <c r="C290" s="3" t="inlineStr">
        <is>
          <t>Mesa Digitalizadora (Modelo 13)</t>
        </is>
      </c>
      <c r="D290" s="3" t="inlineStr">
        <is>
          <t>Periféricos</t>
        </is>
      </c>
      <c r="E290" s="4" t="inlineStr">
        <is>
          <t>2026-12-04</t>
        </is>
      </c>
      <c r="F290" s="5" t="n">
        <v>1833</v>
      </c>
      <c r="G290" s="5" t="n">
        <v>1584</v>
      </c>
      <c r="H290" s="5">
        <f>G290-F290</f>
        <v/>
      </c>
      <c r="I290" s="6">
        <f>H290/F290</f>
        <v/>
      </c>
      <c r="J290" s="3" t="inlineStr">
        <is>
          <t>Camila Azevedo</t>
        </is>
      </c>
      <c r="K290" s="7" t="inlineStr">
        <is>
          <t>B03</t>
        </is>
      </c>
      <c r="L290" s="7">
        <f>IF(H290=0, "Correto", "Divergente")</f>
        <v/>
      </c>
    </row>
    <row r="291">
      <c r="A291" s="8" t="n">
        <v>290</v>
      </c>
      <c r="B291" s="8" t="n">
        <v>12</v>
      </c>
      <c r="C291" s="9" t="inlineStr">
        <is>
          <t>Combo Teclado e Mouse (Modelo 13)</t>
        </is>
      </c>
      <c r="D291" s="9" t="inlineStr">
        <is>
          <t>Periféricos</t>
        </is>
      </c>
      <c r="E291" s="10" t="inlineStr">
        <is>
          <t>2026-02-21</t>
        </is>
      </c>
      <c r="F291" s="11" t="n">
        <v>494</v>
      </c>
      <c r="G291" s="11" t="n">
        <v>511</v>
      </c>
      <c r="H291" s="11">
        <f>G291-F291</f>
        <v/>
      </c>
      <c r="I291" s="12">
        <f>H291/F291</f>
        <v/>
      </c>
      <c r="J291" s="9" t="inlineStr">
        <is>
          <t>Mariana Alcantara</t>
        </is>
      </c>
      <c r="K291" s="13" t="inlineStr">
        <is>
          <t>C03</t>
        </is>
      </c>
      <c r="L291" s="13">
        <f>IF(H291=0, "Correto", "Divergente")</f>
        <v/>
      </c>
    </row>
    <row r="292">
      <c r="A292" s="2" t="n">
        <v>291</v>
      </c>
      <c r="B292" s="2" t="n">
        <v>134</v>
      </c>
      <c r="C292" s="3" t="inlineStr">
        <is>
          <t>Multifuncional Tanque de Tinta (Modelo 15)</t>
        </is>
      </c>
      <c r="D292" s="3" t="inlineStr">
        <is>
          <t>Impressão</t>
        </is>
      </c>
      <c r="E292" s="4" t="inlineStr">
        <is>
          <t>2026-07-10</t>
        </is>
      </c>
      <c r="F292" s="5" t="n">
        <v>90</v>
      </c>
      <c r="G292" s="5" t="n">
        <v>90</v>
      </c>
      <c r="H292" s="5">
        <f>G292-F292</f>
        <v/>
      </c>
      <c r="I292" s="6">
        <f>H292/F292</f>
        <v/>
      </c>
      <c r="J292" s="3" t="inlineStr">
        <is>
          <t>Beatriz Castilho</t>
        </is>
      </c>
      <c r="K292" s="7" t="inlineStr">
        <is>
          <t>A02</t>
        </is>
      </c>
      <c r="L292" s="7">
        <f>IF(H292=0, "Correto", "Divergente")</f>
        <v/>
      </c>
    </row>
    <row r="293">
      <c r="A293" s="8" t="n">
        <v>292</v>
      </c>
      <c r="B293" s="8" t="n">
        <v>119</v>
      </c>
      <c r="C293" s="9" t="inlineStr">
        <is>
          <t>Mousepad Extra Grande (Modelo 15)</t>
        </is>
      </c>
      <c r="D293" s="9" t="inlineStr">
        <is>
          <t>Acessórios</t>
        </is>
      </c>
      <c r="E293" s="10" t="inlineStr">
        <is>
          <t>2024-04-21</t>
        </is>
      </c>
      <c r="F293" s="11" t="n">
        <v>863</v>
      </c>
      <c r="G293" s="11" t="n">
        <v>863</v>
      </c>
      <c r="H293" s="11">
        <f>G293-F293</f>
        <v/>
      </c>
      <c r="I293" s="12">
        <f>H293/F293</f>
        <v/>
      </c>
      <c r="J293" s="9" t="inlineStr">
        <is>
          <t>Roberto Fernandes</t>
        </is>
      </c>
      <c r="K293" s="13" t="inlineStr">
        <is>
          <t>B03</t>
        </is>
      </c>
      <c r="L293" s="13">
        <f>IF(H293=0, "Correto", "Divergente")</f>
        <v/>
      </c>
    </row>
    <row r="294">
      <c r="A294" s="2" t="n">
        <v>293</v>
      </c>
      <c r="B294" s="2" t="n">
        <v>46</v>
      </c>
      <c r="C294" s="3" t="inlineStr">
        <is>
          <t>HD Externo Portátil 2TB (Modelo 2)</t>
        </is>
      </c>
      <c r="D294" s="3" t="inlineStr">
        <is>
          <t>Armazenamento</t>
        </is>
      </c>
      <c r="E294" s="4" t="inlineStr">
        <is>
          <t>2026-02-25</t>
        </is>
      </c>
      <c r="F294" s="5" t="n">
        <v>4846</v>
      </c>
      <c r="G294" s="5" t="n">
        <v>4846</v>
      </c>
      <c r="H294" s="5">
        <f>G294-F294</f>
        <v/>
      </c>
      <c r="I294" s="6">
        <f>H294/F294</f>
        <v/>
      </c>
      <c r="J294" s="3" t="inlineStr">
        <is>
          <t>Gustavo Silveira</t>
        </is>
      </c>
      <c r="K294" s="7" t="inlineStr">
        <is>
          <t>B01</t>
        </is>
      </c>
      <c r="L294" s="7">
        <f>IF(H294=0, "Correto", "Divergente")</f>
        <v/>
      </c>
    </row>
    <row r="295">
      <c r="A295" s="8" t="n">
        <v>294</v>
      </c>
      <c r="B295" s="8" t="n">
        <v>166</v>
      </c>
      <c r="C295" s="9" t="inlineStr">
        <is>
          <t>HD Externo Portátil 2TB (Modelo 2)</t>
        </is>
      </c>
      <c r="D295" s="9" t="inlineStr">
        <is>
          <t>Armazenamento</t>
        </is>
      </c>
      <c r="E295" s="10" t="inlineStr">
        <is>
          <t>2026-08-21</t>
        </is>
      </c>
      <c r="F295" s="11" t="n">
        <v>4309</v>
      </c>
      <c r="G295" s="11" t="n">
        <v>3950</v>
      </c>
      <c r="H295" s="11">
        <f>G295-F295</f>
        <v/>
      </c>
      <c r="I295" s="12">
        <f>H295/F295</f>
        <v/>
      </c>
      <c r="J295" s="9" t="inlineStr">
        <is>
          <t>Patricia Prado</t>
        </is>
      </c>
      <c r="K295" s="13" t="inlineStr">
        <is>
          <t>C01</t>
        </is>
      </c>
      <c r="L295" s="13">
        <f>IF(H295=0, "Correto", "Divergente")</f>
        <v/>
      </c>
    </row>
    <row r="296">
      <c r="A296" s="2" t="n">
        <v>295</v>
      </c>
      <c r="B296" s="2" t="n">
        <v>178</v>
      </c>
      <c r="C296" s="3" t="inlineStr">
        <is>
          <t>Access Point Wi-Fi Corporativo (Modelo 14)</t>
        </is>
      </c>
      <c r="D296" s="3" t="inlineStr">
        <is>
          <t>Redes</t>
        </is>
      </c>
      <c r="E296" s="4" t="inlineStr">
        <is>
          <t>2024-03-08</t>
        </is>
      </c>
      <c r="F296" s="5" t="n">
        <v>4190</v>
      </c>
      <c r="G296" s="5" t="n">
        <v>4190</v>
      </c>
      <c r="H296" s="5">
        <f>G296-F296</f>
        <v/>
      </c>
      <c r="I296" s="6">
        <f>H296/F296</f>
        <v/>
      </c>
      <c r="J296" s="3" t="inlineStr">
        <is>
          <t>Camila Azevedo</t>
        </is>
      </c>
      <c r="K296" s="7" t="inlineStr">
        <is>
          <t>C01</t>
        </is>
      </c>
      <c r="L296" s="7">
        <f>IF(H296=0, "Correto", "Divergente")</f>
        <v/>
      </c>
    </row>
    <row r="297">
      <c r="A297" s="8" t="n">
        <v>296</v>
      </c>
      <c r="B297" s="8" t="n">
        <v>161</v>
      </c>
      <c r="C297" s="9" t="inlineStr">
        <is>
          <t>Notebook Corporate i5 16GB (Modelo 12)</t>
        </is>
      </c>
      <c r="D297" s="9" t="inlineStr">
        <is>
          <t>Informática</t>
        </is>
      </c>
      <c r="E297" s="10" t="inlineStr">
        <is>
          <t>2024-08-11</t>
        </is>
      </c>
      <c r="F297" s="11" t="n">
        <v>1433</v>
      </c>
      <c r="G297" s="11" t="n">
        <v>1433</v>
      </c>
      <c r="H297" s="11">
        <f>G297-F297</f>
        <v/>
      </c>
      <c r="I297" s="12">
        <f>H297/F297</f>
        <v/>
      </c>
      <c r="J297" s="9" t="inlineStr">
        <is>
          <t>Marcelo Fontes</t>
        </is>
      </c>
      <c r="K297" s="13" t="inlineStr">
        <is>
          <t>B03</t>
        </is>
      </c>
      <c r="L297" s="13">
        <f>IF(H297=0, "Correto", "Divergente")</f>
        <v/>
      </c>
    </row>
    <row r="298">
      <c r="A298" s="2" t="n">
        <v>297</v>
      </c>
      <c r="B298" s="2" t="n">
        <v>103</v>
      </c>
      <c r="C298" s="3" t="inlineStr">
        <is>
          <t>Monitor LED 21.5" Full HD (Modelo 14)</t>
        </is>
      </c>
      <c r="D298" s="3" t="inlineStr">
        <is>
          <t>Monitores</t>
        </is>
      </c>
      <c r="E298" s="4" t="inlineStr">
        <is>
          <t>2024-05-04</t>
        </is>
      </c>
      <c r="F298" s="5" t="n">
        <v>3736</v>
      </c>
      <c r="G298" s="5" t="n">
        <v>3736</v>
      </c>
      <c r="H298" s="5">
        <f>G298-F298</f>
        <v/>
      </c>
      <c r="I298" s="6">
        <f>H298/F298</f>
        <v/>
      </c>
      <c r="J298" s="3" t="inlineStr">
        <is>
          <t>Roberto Fernandes</t>
        </is>
      </c>
      <c r="K298" s="7" t="inlineStr">
        <is>
          <t>A03</t>
        </is>
      </c>
      <c r="L298" s="7">
        <f>IF(H298=0, "Correto", "Divergente")</f>
        <v/>
      </c>
    </row>
    <row r="299">
      <c r="A299" s="8" t="n">
        <v>298</v>
      </c>
      <c r="B299" s="8" t="n">
        <v>55</v>
      </c>
      <c r="C299" s="9" t="inlineStr">
        <is>
          <t>Headset USB com Cancelamento de Ruído (Modelo 11)</t>
        </is>
      </c>
      <c r="D299" s="9" t="inlineStr">
        <is>
          <t>Áudio</t>
        </is>
      </c>
      <c r="E299" s="10" t="inlineStr">
        <is>
          <t>2026-04-08</t>
        </is>
      </c>
      <c r="F299" s="11" t="n">
        <v>4752</v>
      </c>
      <c r="G299" s="11" t="n">
        <v>4752</v>
      </c>
      <c r="H299" s="11">
        <f>G299-F299</f>
        <v/>
      </c>
      <c r="I299" s="12">
        <f>H299/F299</f>
        <v/>
      </c>
      <c r="J299" s="9" t="inlineStr">
        <is>
          <t>Beatriz Castilho</t>
        </is>
      </c>
      <c r="K299" s="13" t="inlineStr">
        <is>
          <t>B01</t>
        </is>
      </c>
      <c r="L299" s="13">
        <f>IF(H299=0, "Correto", "Divergente")</f>
        <v/>
      </c>
    </row>
    <row r="300">
      <c r="A300" s="2" t="n">
        <v>299</v>
      </c>
      <c r="B300" s="2" t="n">
        <v>67</v>
      </c>
      <c r="C300" s="3" t="inlineStr">
        <is>
          <t>Smartphone Empresarial 128GB (Modelo 8)</t>
        </is>
      </c>
      <c r="D300" s="3" t="inlineStr">
        <is>
          <t>Smartphones</t>
        </is>
      </c>
      <c r="E300" s="4" t="inlineStr">
        <is>
          <t>2025-03-29</t>
        </is>
      </c>
      <c r="F300" s="5" t="n">
        <v>1037</v>
      </c>
      <c r="G300" s="5" t="n">
        <v>1037</v>
      </c>
      <c r="H300" s="5">
        <f>G300-F300</f>
        <v/>
      </c>
      <c r="I300" s="6">
        <f>H300/F300</f>
        <v/>
      </c>
      <c r="J300" s="3" t="inlineStr">
        <is>
          <t>Gustavo Silveira</t>
        </is>
      </c>
      <c r="K300" s="7" t="inlineStr">
        <is>
          <t>B03</t>
        </is>
      </c>
      <c r="L300" s="7">
        <f>IF(H300=0, "Correto", "Divergente")</f>
        <v/>
      </c>
    </row>
    <row r="301">
      <c r="A301" s="8" t="n">
        <v>300</v>
      </c>
      <c r="B301" s="8" t="n">
        <v>83</v>
      </c>
      <c r="C301" s="9" t="inlineStr">
        <is>
          <t>Monitor 4K 32" Profissional (Modelo 9)</t>
        </is>
      </c>
      <c r="D301" s="9" t="inlineStr">
        <is>
          <t>Monitores</t>
        </is>
      </c>
      <c r="E301" s="10" t="inlineStr">
        <is>
          <t>2024-03-10</t>
        </is>
      </c>
      <c r="F301" s="11" t="n">
        <v>539</v>
      </c>
      <c r="G301" s="11" t="n">
        <v>539</v>
      </c>
      <c r="H301" s="11">
        <f>G301-F301</f>
        <v/>
      </c>
      <c r="I301" s="12">
        <f>H301/F301</f>
        <v/>
      </c>
      <c r="J301" s="9" t="inlineStr">
        <is>
          <t>Beatriz Castilho</t>
        </is>
      </c>
      <c r="K301" s="13" t="inlineStr">
        <is>
          <t>A02</t>
        </is>
      </c>
      <c r="L301" s="13">
        <f>IF(H301=0, "Correto", "Divergente")</f>
        <v/>
      </c>
    </row>
    <row r="302">
      <c r="A302" s="2" t="n">
        <v>301</v>
      </c>
      <c r="B302" s="2" t="n">
        <v>14</v>
      </c>
      <c r="C302" s="3" t="inlineStr">
        <is>
          <t>Multifuncional Tanque de Tinta (Modelo 15)</t>
        </is>
      </c>
      <c r="D302" s="3" t="inlineStr">
        <is>
          <t>Impressão</t>
        </is>
      </c>
      <c r="E302" s="4" t="inlineStr">
        <is>
          <t>2024-04-18</t>
        </is>
      </c>
      <c r="F302" s="5" t="n">
        <v>3571</v>
      </c>
      <c r="G302" s="5" t="n">
        <v>3571</v>
      </c>
      <c r="H302" s="5">
        <f>G302-F302</f>
        <v/>
      </c>
      <c r="I302" s="6">
        <f>H302/F302</f>
        <v/>
      </c>
      <c r="J302" s="3" t="inlineStr">
        <is>
          <t>Patricia Prado</t>
        </is>
      </c>
      <c r="K302" s="7" t="inlineStr">
        <is>
          <t>A02</t>
        </is>
      </c>
      <c r="L302" s="7">
        <f>IF(H302=0, "Correto", "Divergente")</f>
        <v/>
      </c>
    </row>
    <row r="303">
      <c r="A303" s="8" t="n">
        <v>302</v>
      </c>
      <c r="B303" s="8" t="n">
        <v>186</v>
      </c>
      <c r="C303" s="9" t="inlineStr">
        <is>
          <t>Cartão de Memória MicroSD 128GB (Modelo 7)</t>
        </is>
      </c>
      <c r="D303" s="9" t="inlineStr">
        <is>
          <t>Armazenamento</t>
        </is>
      </c>
      <c r="E303" s="10" t="inlineStr">
        <is>
          <t>2026-08-29</t>
        </is>
      </c>
      <c r="F303" s="11" t="n">
        <v>595</v>
      </c>
      <c r="G303" s="11" t="n">
        <v>537</v>
      </c>
      <c r="H303" s="11">
        <f>G303-F303</f>
        <v/>
      </c>
      <c r="I303" s="12">
        <f>H303/F303</f>
        <v/>
      </c>
      <c r="J303" s="9" t="inlineStr">
        <is>
          <t>Roberto Fernandes</t>
        </is>
      </c>
      <c r="K303" s="13" t="inlineStr">
        <is>
          <t>B02</t>
        </is>
      </c>
      <c r="L303" s="13">
        <f>IF(H303=0, "Correto", "Divergente")</f>
        <v/>
      </c>
    </row>
    <row r="304">
      <c r="A304" s="2" t="n">
        <v>303</v>
      </c>
      <c r="B304" s="2" t="n">
        <v>58</v>
      </c>
      <c r="C304" s="3" t="inlineStr">
        <is>
          <t>Access Point Wi-Fi Corporativo (Modelo 14)</t>
        </is>
      </c>
      <c r="D304" s="3" t="inlineStr">
        <is>
          <t>Redes</t>
        </is>
      </c>
      <c r="E304" s="4" t="inlineStr">
        <is>
          <t>2025-04-27</t>
        </is>
      </c>
      <c r="F304" s="5" t="n">
        <v>2998</v>
      </c>
      <c r="G304" s="5" t="n">
        <v>2998</v>
      </c>
      <c r="H304" s="5">
        <f>G304-F304</f>
        <v/>
      </c>
      <c r="I304" s="6">
        <f>H304/F304</f>
        <v/>
      </c>
      <c r="J304" s="3" t="inlineStr">
        <is>
          <t>Beatriz Castilho</t>
        </is>
      </c>
      <c r="K304" s="7" t="inlineStr">
        <is>
          <t>C03</t>
        </is>
      </c>
      <c r="L304" s="7">
        <f>IF(H304=0, "Correto", "Divergente")</f>
        <v/>
      </c>
    </row>
    <row r="305">
      <c r="A305" s="8" t="n">
        <v>304</v>
      </c>
      <c r="B305" s="8" t="n">
        <v>94</v>
      </c>
      <c r="C305" s="9" t="inlineStr">
        <is>
          <t>Toner HP Preto Original (Modelo 5)</t>
        </is>
      </c>
      <c r="D305" s="9" t="inlineStr">
        <is>
          <t>Impressão</t>
        </is>
      </c>
      <c r="E305" s="10" t="inlineStr">
        <is>
          <t>2024-03-13</t>
        </is>
      </c>
      <c r="F305" s="11" t="n">
        <v>4871</v>
      </c>
      <c r="G305" s="11" t="n">
        <v>4963</v>
      </c>
      <c r="H305" s="11">
        <f>G305-F305</f>
        <v/>
      </c>
      <c r="I305" s="12">
        <f>H305/F305</f>
        <v/>
      </c>
      <c r="J305" s="9" t="inlineStr">
        <is>
          <t>Gustavo Silveira</t>
        </is>
      </c>
      <c r="K305" s="13" t="inlineStr">
        <is>
          <t>C03</t>
        </is>
      </c>
      <c r="L305" s="13">
        <f>IF(H305=0, "Correto", "Divergente")</f>
        <v/>
      </c>
    </row>
    <row r="306">
      <c r="A306" s="2" t="n">
        <v>305</v>
      </c>
      <c r="B306" s="2" t="n">
        <v>5</v>
      </c>
      <c r="C306" s="3" t="inlineStr">
        <is>
          <t>Caixa de Som Bluetooth Portátil (Modelo 6)</t>
        </is>
      </c>
      <c r="D306" s="3" t="inlineStr">
        <is>
          <t>Áudio</t>
        </is>
      </c>
      <c r="E306" s="4" t="inlineStr">
        <is>
          <t>2024-08-03</t>
        </is>
      </c>
      <c r="F306" s="5" t="n">
        <v>2661</v>
      </c>
      <c r="G306" s="5" t="n">
        <v>2661</v>
      </c>
      <c r="H306" s="5">
        <f>G306-F306</f>
        <v/>
      </c>
      <c r="I306" s="6">
        <f>H306/F306</f>
        <v/>
      </c>
      <c r="J306" s="3" t="inlineStr">
        <is>
          <t>Mariana Alcantara</t>
        </is>
      </c>
      <c r="K306" s="7" t="inlineStr">
        <is>
          <t>C01</t>
        </is>
      </c>
      <c r="L306" s="7">
        <f>IF(H306=0, "Correto", "Divergente")</f>
        <v/>
      </c>
    </row>
    <row r="307">
      <c r="A307" s="8" t="n">
        <v>306</v>
      </c>
      <c r="B307" s="8" t="n">
        <v>20</v>
      </c>
      <c r="C307" s="9" t="inlineStr">
        <is>
          <t>Memória RAM DDR4 16GB 3200MHz (Modelo 6)</t>
        </is>
      </c>
      <c r="D307" s="9" t="inlineStr">
        <is>
          <t>Componentes</t>
        </is>
      </c>
      <c r="E307" s="10" t="inlineStr">
        <is>
          <t>2024-03-26</t>
        </is>
      </c>
      <c r="F307" s="11" t="n">
        <v>1593</v>
      </c>
      <c r="G307" s="11" t="n">
        <v>1367</v>
      </c>
      <c r="H307" s="11">
        <f>G307-F307</f>
        <v/>
      </c>
      <c r="I307" s="12">
        <f>H307/F307</f>
        <v/>
      </c>
      <c r="J307" s="9" t="inlineStr">
        <is>
          <t>Roberto Fernandes</t>
        </is>
      </c>
      <c r="K307" s="13" t="inlineStr">
        <is>
          <t>A03</t>
        </is>
      </c>
      <c r="L307" s="13">
        <f>IF(H307=0, "Correto", "Divergente")</f>
        <v/>
      </c>
    </row>
    <row r="308">
      <c r="A308" s="2" t="n">
        <v>307</v>
      </c>
      <c r="B308" s="2" t="n">
        <v>90</v>
      </c>
      <c r="C308" s="3" t="inlineStr">
        <is>
          <t>Cooler para Processador 120mm (Modelo 1)</t>
        </is>
      </c>
      <c r="D308" s="3" t="inlineStr">
        <is>
          <t>Componentes</t>
        </is>
      </c>
      <c r="E308" s="4" t="inlineStr">
        <is>
          <t>2024-01-04</t>
        </is>
      </c>
      <c r="F308" s="5" t="n">
        <v>1282</v>
      </c>
      <c r="G308" s="5" t="n">
        <v>1282</v>
      </c>
      <c r="H308" s="5">
        <f>G308-F308</f>
        <v/>
      </c>
      <c r="I308" s="6">
        <f>H308/F308</f>
        <v/>
      </c>
      <c r="J308" s="3" t="inlineStr">
        <is>
          <t>Roberto Fernandes</t>
        </is>
      </c>
      <c r="K308" s="7" t="inlineStr">
        <is>
          <t>A01</t>
        </is>
      </c>
      <c r="L308" s="7">
        <f>IF(H308=0, "Correto", "Divergente")</f>
        <v/>
      </c>
    </row>
    <row r="309">
      <c r="A309" s="8" t="n">
        <v>308</v>
      </c>
      <c r="B309" s="8" t="n">
        <v>95</v>
      </c>
      <c r="C309" s="9" t="inlineStr">
        <is>
          <t>Caixa de Som Bluetooth Portátil (Modelo 6)</t>
        </is>
      </c>
      <c r="D309" s="9" t="inlineStr">
        <is>
          <t>Áudio</t>
        </is>
      </c>
      <c r="E309" s="10" t="inlineStr">
        <is>
          <t>2024-08-29</t>
        </is>
      </c>
      <c r="F309" s="11" t="n">
        <v>690</v>
      </c>
      <c r="G309" s="11" t="n">
        <v>690</v>
      </c>
      <c r="H309" s="11">
        <f>G309-F309</f>
        <v/>
      </c>
      <c r="I309" s="12">
        <f>H309/F309</f>
        <v/>
      </c>
      <c r="J309" s="9" t="inlineStr">
        <is>
          <t>Roberto Fernandes</t>
        </is>
      </c>
      <c r="K309" s="13" t="inlineStr">
        <is>
          <t>Depósito Externo</t>
        </is>
      </c>
      <c r="L309" s="13">
        <f>IF(H309=0, "Correto", "Divergente")</f>
        <v/>
      </c>
    </row>
    <row r="310">
      <c r="A310" s="2" t="n">
        <v>309</v>
      </c>
      <c r="B310" s="2" t="n">
        <v>167</v>
      </c>
      <c r="C310" s="3" t="inlineStr">
        <is>
          <t>Capa Protetora para Tablet (Modelo 3)</t>
        </is>
      </c>
      <c r="D310" s="3" t="inlineStr">
        <is>
          <t>Smartphones</t>
        </is>
      </c>
      <c r="E310" s="4" t="inlineStr">
        <is>
          <t>2025-05-28</t>
        </is>
      </c>
      <c r="F310" s="5" t="n">
        <v>957</v>
      </c>
      <c r="G310" s="5" t="n">
        <v>937</v>
      </c>
      <c r="H310" s="5">
        <f>G310-F310</f>
        <v/>
      </c>
      <c r="I310" s="6">
        <f>H310/F310</f>
        <v/>
      </c>
      <c r="J310" s="3" t="inlineStr">
        <is>
          <t>Ricardo Mendes</t>
        </is>
      </c>
      <c r="K310" s="7" t="inlineStr">
        <is>
          <t>A02</t>
        </is>
      </c>
      <c r="L310" s="7">
        <f>IF(H310=0, "Correto", "Divergente")</f>
        <v/>
      </c>
    </row>
    <row r="311">
      <c r="A311" s="8" t="n">
        <v>310</v>
      </c>
      <c r="B311" s="8" t="n">
        <v>146</v>
      </c>
      <c r="C311" s="9" t="inlineStr">
        <is>
          <t>SSD NVMe 1TB M.2 (Modelo 12)</t>
        </is>
      </c>
      <c r="D311" s="9" t="inlineStr">
        <is>
          <t>Armazenamento</t>
        </is>
      </c>
      <c r="E311" s="10" t="inlineStr">
        <is>
          <t>2024-02-06</t>
        </is>
      </c>
      <c r="F311" s="11" t="n">
        <v>4332</v>
      </c>
      <c r="G311" s="11" t="n">
        <v>4332</v>
      </c>
      <c r="H311" s="11">
        <f>G311-F311</f>
        <v/>
      </c>
      <c r="I311" s="12">
        <f>H311/F311</f>
        <v/>
      </c>
      <c r="J311" s="9" t="inlineStr">
        <is>
          <t>Fernanda Vasconcelos</t>
        </is>
      </c>
      <c r="K311" s="13" t="inlineStr">
        <is>
          <t>C03</t>
        </is>
      </c>
      <c r="L311" s="13">
        <f>IF(H311=0, "Correto", "Divergente")</f>
        <v/>
      </c>
    </row>
    <row r="312">
      <c r="A312" s="2" t="n">
        <v>311</v>
      </c>
      <c r="B312" s="2" t="n">
        <v>104</v>
      </c>
      <c r="C312" s="3" t="inlineStr">
        <is>
          <t>Multifuncional Tanque de Tinta (Modelo 15)</t>
        </is>
      </c>
      <c r="D312" s="3" t="inlineStr">
        <is>
          <t>Impressão</t>
        </is>
      </c>
      <c r="E312" s="4" t="inlineStr">
        <is>
          <t>2024-05-14</t>
        </is>
      </c>
      <c r="F312" s="5" t="n">
        <v>1861</v>
      </c>
      <c r="G312" s="5" t="n">
        <v>1861</v>
      </c>
      <c r="H312" s="5">
        <f>G312-F312</f>
        <v/>
      </c>
      <c r="I312" s="6">
        <f>H312/F312</f>
        <v/>
      </c>
      <c r="J312" s="3" t="inlineStr">
        <is>
          <t>Roberto Fernandes</t>
        </is>
      </c>
      <c r="K312" s="7" t="inlineStr">
        <is>
          <t>A02</t>
        </is>
      </c>
      <c r="L312" s="7">
        <f>IF(H312=0, "Correto", "Divergente")</f>
        <v/>
      </c>
    </row>
    <row r="313">
      <c r="A313" s="8" t="n">
        <v>312</v>
      </c>
      <c r="B313" s="8" t="n">
        <v>185</v>
      </c>
      <c r="C313" s="9" t="inlineStr">
        <is>
          <t>Caixa de Som Bluetooth Portátil (Modelo 6)</t>
        </is>
      </c>
      <c r="D313" s="9" t="inlineStr">
        <is>
          <t>Áudio</t>
        </is>
      </c>
      <c r="E313" s="10" t="inlineStr">
        <is>
          <t>2024-09-24</t>
        </is>
      </c>
      <c r="F313" s="11" t="n">
        <v>1514</v>
      </c>
      <c r="G313" s="11" t="n">
        <v>1514</v>
      </c>
      <c r="H313" s="11">
        <f>G313-F313</f>
        <v/>
      </c>
      <c r="I313" s="12">
        <f>H313/F313</f>
        <v/>
      </c>
      <c r="J313" s="9" t="inlineStr">
        <is>
          <t>Fernanda Vasconcelos</t>
        </is>
      </c>
      <c r="K313" s="13" t="inlineStr">
        <is>
          <t>C03</t>
        </is>
      </c>
      <c r="L313" s="13">
        <f>IF(H313=0, "Correto", "Divergente")</f>
        <v/>
      </c>
    </row>
    <row r="314">
      <c r="A314" s="2" t="n">
        <v>313</v>
      </c>
      <c r="B314" s="2" t="n">
        <v>171</v>
      </c>
      <c r="C314" s="3" t="inlineStr">
        <is>
          <t>Desktop Core i5 8GB (Modelo 7)</t>
        </is>
      </c>
      <c r="D314" s="3" t="inlineStr">
        <is>
          <t>Informática</t>
        </is>
      </c>
      <c r="E314" s="4" t="inlineStr">
        <is>
          <t>2026-02-12</t>
        </is>
      </c>
      <c r="F314" s="5" t="n">
        <v>1678</v>
      </c>
      <c r="G314" s="5" t="n">
        <v>1678</v>
      </c>
      <c r="H314" s="5">
        <f>G314-F314</f>
        <v/>
      </c>
      <c r="I314" s="6">
        <f>H314/F314</f>
        <v/>
      </c>
      <c r="J314" s="3" t="inlineStr">
        <is>
          <t>Marcelo Fontes</t>
        </is>
      </c>
      <c r="K314" s="7" t="inlineStr">
        <is>
          <t>C02</t>
        </is>
      </c>
      <c r="L314" s="7">
        <f>IF(H314=0, "Correto", "Divergente")</f>
        <v/>
      </c>
    </row>
    <row r="315">
      <c r="A315" s="8" t="n">
        <v>314</v>
      </c>
      <c r="B315" s="8" t="n">
        <v>125</v>
      </c>
      <c r="C315" s="9" t="inlineStr">
        <is>
          <t>Caixa de Som Bluetooth Portátil (Modelo 6)</t>
        </is>
      </c>
      <c r="D315" s="9" t="inlineStr">
        <is>
          <t>Áudio</t>
        </is>
      </c>
      <c r="E315" s="10" t="inlineStr">
        <is>
          <t>2026-03-21</t>
        </is>
      </c>
      <c r="F315" s="11" t="n">
        <v>378</v>
      </c>
      <c r="G315" s="11" t="n">
        <v>378</v>
      </c>
      <c r="H315" s="11">
        <f>G315-F315</f>
        <v/>
      </c>
      <c r="I315" s="12">
        <f>H315/F315</f>
        <v/>
      </c>
      <c r="J315" s="9" t="inlineStr">
        <is>
          <t>Carlos Eduardo Rocha</t>
        </is>
      </c>
      <c r="K315" s="13" t="inlineStr">
        <is>
          <t>B03</t>
        </is>
      </c>
      <c r="L315" s="13">
        <f>IF(H315=0, "Correto", "Divergente")</f>
        <v/>
      </c>
    </row>
    <row r="316">
      <c r="A316" s="2" t="n">
        <v>315</v>
      </c>
      <c r="B316" s="2" t="n">
        <v>79</v>
      </c>
      <c r="C316" s="3" t="inlineStr">
        <is>
          <t>Cabo DisplayPort 1.4 1.8m (Modelo 5)</t>
        </is>
      </c>
      <c r="D316" s="3" t="inlineStr">
        <is>
          <t>Acessórios</t>
        </is>
      </c>
      <c r="E316" s="4" t="inlineStr">
        <is>
          <t>2024-12-16</t>
        </is>
      </c>
      <c r="F316" s="5" t="n">
        <v>2345</v>
      </c>
      <c r="G316" s="5" t="n">
        <v>2361</v>
      </c>
      <c r="H316" s="5">
        <f>G316-F316</f>
        <v/>
      </c>
      <c r="I316" s="6">
        <f>H316/F316</f>
        <v/>
      </c>
      <c r="J316" s="3" t="inlineStr">
        <is>
          <t>Beatriz Castilho</t>
        </is>
      </c>
      <c r="K316" s="7" t="inlineStr">
        <is>
          <t>B02</t>
        </is>
      </c>
      <c r="L316" s="7">
        <f>IF(H316=0, "Correto", "Divergente")</f>
        <v/>
      </c>
    </row>
    <row r="317">
      <c r="A317" s="8" t="n">
        <v>316</v>
      </c>
      <c r="B317" s="8" t="n">
        <v>174</v>
      </c>
      <c r="C317" s="9" t="inlineStr">
        <is>
          <t>Cartucho Colorido Premium (Modelo 10)</t>
        </is>
      </c>
      <c r="D317" s="9" t="inlineStr">
        <is>
          <t>Impressão</t>
        </is>
      </c>
      <c r="E317" s="10" t="inlineStr">
        <is>
          <t>2024-11-07</t>
        </is>
      </c>
      <c r="F317" s="11" t="n">
        <v>2097</v>
      </c>
      <c r="G317" s="11" t="n">
        <v>2097</v>
      </c>
      <c r="H317" s="11">
        <f>G317-F317</f>
        <v/>
      </c>
      <c r="I317" s="12">
        <f>H317/F317</f>
        <v/>
      </c>
      <c r="J317" s="9" t="inlineStr">
        <is>
          <t>Patricia Prado</t>
        </is>
      </c>
      <c r="K317" s="13" t="inlineStr">
        <is>
          <t>C01</t>
        </is>
      </c>
      <c r="L317" s="13">
        <f>IF(H317=0, "Correto", "Divergente")</f>
        <v/>
      </c>
    </row>
    <row r="318">
      <c r="A318" s="2" t="n">
        <v>317</v>
      </c>
      <c r="B318" s="2" t="n">
        <v>69</v>
      </c>
      <c r="C318" s="3" t="inlineStr">
        <is>
          <t>Mochila para Notebook 15.6" (Modelo 10)</t>
        </is>
      </c>
      <c r="D318" s="3" t="inlineStr">
        <is>
          <t>Acessórios</t>
        </is>
      </c>
      <c r="E318" s="4" t="inlineStr">
        <is>
          <t>2024-05-24</t>
        </is>
      </c>
      <c r="F318" s="5" t="n">
        <v>1284</v>
      </c>
      <c r="G318" s="5" t="n">
        <v>1284</v>
      </c>
      <c r="H318" s="5">
        <f>G318-F318</f>
        <v/>
      </c>
      <c r="I318" s="6">
        <f>H318/F318</f>
        <v/>
      </c>
      <c r="J318" s="3" t="inlineStr">
        <is>
          <t>Patricia Prado</t>
        </is>
      </c>
      <c r="K318" s="7" t="inlineStr">
        <is>
          <t>B02</t>
        </is>
      </c>
      <c r="L318" s="7">
        <f>IF(H318=0, "Correto", "Divergente")</f>
        <v/>
      </c>
    </row>
    <row r="319">
      <c r="A319" s="8" t="n">
        <v>318</v>
      </c>
      <c r="B319" s="8" t="n">
        <v>66</v>
      </c>
      <c r="C319" s="9" t="inlineStr">
        <is>
          <t>Cartão de Memória MicroSD 128GB (Modelo 7)</t>
        </is>
      </c>
      <c r="D319" s="9" t="inlineStr">
        <is>
          <t>Armazenamento</t>
        </is>
      </c>
      <c r="E319" s="10" t="inlineStr">
        <is>
          <t>2026-06-29</t>
        </is>
      </c>
      <c r="F319" s="11" t="n">
        <v>3309</v>
      </c>
      <c r="G319" s="11" t="n">
        <v>3309</v>
      </c>
      <c r="H319" s="11">
        <f>G319-F319</f>
        <v/>
      </c>
      <c r="I319" s="12">
        <f>H319/F319</f>
        <v/>
      </c>
      <c r="J319" s="9" t="inlineStr">
        <is>
          <t>Ricardo Mendes</t>
        </is>
      </c>
      <c r="K319" s="13" t="inlineStr">
        <is>
          <t>C02</t>
        </is>
      </c>
      <c r="L319" s="13">
        <f>IF(H319=0, "Correto", "Divergente")</f>
        <v/>
      </c>
    </row>
    <row r="320">
      <c r="A320" s="2" t="n">
        <v>319</v>
      </c>
      <c r="B320" s="2" t="n">
        <v>23</v>
      </c>
      <c r="C320" s="3" t="inlineStr">
        <is>
          <t>Monitor 4K 32" Profissional (Modelo 9)</t>
        </is>
      </c>
      <c r="D320" s="3" t="inlineStr">
        <is>
          <t>Monitores</t>
        </is>
      </c>
      <c r="E320" s="4" t="inlineStr">
        <is>
          <t>2025-04-03</t>
        </is>
      </c>
      <c r="F320" s="5" t="n">
        <v>1865</v>
      </c>
      <c r="G320" s="5" t="n">
        <v>1865</v>
      </c>
      <c r="H320" s="5">
        <f>G320-F320</f>
        <v/>
      </c>
      <c r="I320" s="6">
        <f>H320/F320</f>
        <v/>
      </c>
      <c r="J320" s="3" t="inlineStr">
        <is>
          <t>Carlos Eduardo Rocha</t>
        </is>
      </c>
      <c r="K320" s="7" t="inlineStr">
        <is>
          <t>B03</t>
        </is>
      </c>
      <c r="L320" s="7">
        <f>IF(H320=0, "Correto", "Divergente")</f>
        <v/>
      </c>
    </row>
    <row r="321">
      <c r="A321" s="8" t="n">
        <v>320</v>
      </c>
      <c r="B321" s="8" t="n">
        <v>88</v>
      </c>
      <c r="C321" s="9" t="inlineStr">
        <is>
          <t>Access Point Wi-Fi Corporativo (Modelo 14)</t>
        </is>
      </c>
      <c r="D321" s="9" t="inlineStr">
        <is>
          <t>Redes</t>
        </is>
      </c>
      <c r="E321" s="10" t="inlineStr">
        <is>
          <t>2024-02-13</t>
        </is>
      </c>
      <c r="F321" s="11" t="n">
        <v>2332</v>
      </c>
      <c r="G321" s="11" t="n">
        <v>2332</v>
      </c>
      <c r="H321" s="11">
        <f>G321-F321</f>
        <v/>
      </c>
      <c r="I321" s="12">
        <f>H321/F321</f>
        <v/>
      </c>
      <c r="J321" s="9" t="inlineStr">
        <is>
          <t>Beatriz Castilho</t>
        </is>
      </c>
      <c r="K321" s="13" t="inlineStr">
        <is>
          <t>C02</t>
        </is>
      </c>
      <c r="L321" s="13">
        <f>IF(H321=0, "Correto", "Divergente")</f>
        <v/>
      </c>
    </row>
    <row r="322">
      <c r="A322" s="2" t="n">
        <v>321</v>
      </c>
      <c r="B322" s="2" t="n">
        <v>3</v>
      </c>
      <c r="C322" s="3" t="inlineStr">
        <is>
          <t>Monitor 27" Curvo 144Hz (Modelo 4)</t>
        </is>
      </c>
      <c r="D322" s="3" t="inlineStr">
        <is>
          <t>Monitores</t>
        </is>
      </c>
      <c r="E322" s="4" t="inlineStr">
        <is>
          <t>2026-04-25</t>
        </is>
      </c>
      <c r="F322" s="5" t="n">
        <v>394</v>
      </c>
      <c r="G322" s="5" t="n">
        <v>394</v>
      </c>
      <c r="H322" s="5">
        <f>G322-F322</f>
        <v/>
      </c>
      <c r="I322" s="6">
        <f>H322/F322</f>
        <v/>
      </c>
      <c r="J322" s="3" t="inlineStr">
        <is>
          <t>Ricardo Mendes</t>
        </is>
      </c>
      <c r="K322" s="7" t="inlineStr">
        <is>
          <t>B01</t>
        </is>
      </c>
      <c r="L322" s="7">
        <f>IF(H322=0, "Correto", "Divergente")</f>
        <v/>
      </c>
    </row>
    <row r="323">
      <c r="A323" s="8" t="n">
        <v>322</v>
      </c>
      <c r="B323" s="8" t="n">
        <v>59</v>
      </c>
      <c r="C323" s="9" t="inlineStr">
        <is>
          <t>Filtro de Linha 6 Tomadas (Modelo 15)</t>
        </is>
      </c>
      <c r="D323" s="9" t="inlineStr">
        <is>
          <t>Acessórios</t>
        </is>
      </c>
      <c r="E323" s="10" t="inlineStr">
        <is>
          <t>2025-02-20</t>
        </is>
      </c>
      <c r="F323" s="11" t="n">
        <v>4169</v>
      </c>
      <c r="G323" s="11" t="n">
        <v>4169</v>
      </c>
      <c r="H323" s="11">
        <f>G323-F323</f>
        <v/>
      </c>
      <c r="I323" s="12">
        <f>H323/F323</f>
        <v/>
      </c>
      <c r="J323" s="9" t="inlineStr">
        <is>
          <t>Camila Azevedo</t>
        </is>
      </c>
      <c r="K323" s="13" t="inlineStr">
        <is>
          <t>A03</t>
        </is>
      </c>
      <c r="L323" s="13">
        <f>IF(H323=0, "Correto", "Divergente")</f>
        <v/>
      </c>
    </row>
    <row r="324">
      <c r="A324" s="2" t="n">
        <v>323</v>
      </c>
      <c r="B324" s="2" t="n">
        <v>100</v>
      </c>
      <c r="C324" s="3" t="inlineStr">
        <is>
          <t>Fonte Atx 500W 80 Plus (Modelo 11)</t>
        </is>
      </c>
      <c r="D324" s="3" t="inlineStr">
        <is>
          <t>Componentes</t>
        </is>
      </c>
      <c r="E324" s="4" t="inlineStr">
        <is>
          <t>2026-09-18</t>
        </is>
      </c>
      <c r="F324" s="5" t="n">
        <v>3807</v>
      </c>
      <c r="G324" s="5" t="n">
        <v>3807</v>
      </c>
      <c r="H324" s="5">
        <f>G324-F324</f>
        <v/>
      </c>
      <c r="I324" s="6">
        <f>H324/F324</f>
        <v/>
      </c>
      <c r="J324" s="3" t="inlineStr">
        <is>
          <t>Camila Azevedo</t>
        </is>
      </c>
      <c r="K324" s="7" t="inlineStr">
        <is>
          <t>Depósito Externo</t>
        </is>
      </c>
      <c r="L324" s="7">
        <f>IF(H324=0, "Correto", "Divergente")</f>
        <v/>
      </c>
    </row>
    <row r="325">
      <c r="A325" s="8" t="n">
        <v>324</v>
      </c>
      <c r="B325" s="8" t="n">
        <v>103</v>
      </c>
      <c r="C325" s="9" t="inlineStr">
        <is>
          <t>Monitor LED 21.5" Full HD (Modelo 14)</t>
        </is>
      </c>
      <c r="D325" s="9" t="inlineStr">
        <is>
          <t>Monitores</t>
        </is>
      </c>
      <c r="E325" s="10" t="inlineStr">
        <is>
          <t>2025-07-30</t>
        </is>
      </c>
      <c r="F325" s="11" t="n">
        <v>2086</v>
      </c>
      <c r="G325" s="11" t="n">
        <v>2086</v>
      </c>
      <c r="H325" s="11">
        <f>G325-F325</f>
        <v/>
      </c>
      <c r="I325" s="12">
        <f>H325/F325</f>
        <v/>
      </c>
      <c r="J325" s="9" t="inlineStr">
        <is>
          <t>Camila Azevedo</t>
        </is>
      </c>
      <c r="K325" s="13" t="inlineStr">
        <is>
          <t>B02</t>
        </is>
      </c>
      <c r="L325" s="13">
        <f>IF(H325=0, "Correto", "Divergente")</f>
        <v/>
      </c>
    </row>
    <row r="326">
      <c r="A326" s="2" t="n">
        <v>325</v>
      </c>
      <c r="B326" s="2" t="n">
        <v>12</v>
      </c>
      <c r="C326" s="3" t="inlineStr">
        <is>
          <t>Combo Teclado e Mouse (Modelo 13)</t>
        </is>
      </c>
      <c r="D326" s="3" t="inlineStr">
        <is>
          <t>Periféricos</t>
        </is>
      </c>
      <c r="E326" s="4" t="inlineStr">
        <is>
          <t>2025-05-14</t>
        </is>
      </c>
      <c r="F326" s="5" t="n">
        <v>3765</v>
      </c>
      <c r="G326" s="5" t="n">
        <v>3765</v>
      </c>
      <c r="H326" s="5">
        <f>G326-F326</f>
        <v/>
      </c>
      <c r="I326" s="6">
        <f>H326/F326</f>
        <v/>
      </c>
      <c r="J326" s="3" t="inlineStr">
        <is>
          <t>Beatriz Castilho</t>
        </is>
      </c>
      <c r="K326" s="7" t="inlineStr">
        <is>
          <t>C01</t>
        </is>
      </c>
      <c r="L326" s="7">
        <f>IF(H326=0, "Correto", "Divergente")</f>
        <v/>
      </c>
    </row>
    <row r="327">
      <c r="A327" s="8" t="n">
        <v>326</v>
      </c>
      <c r="B327" s="8" t="n">
        <v>139</v>
      </c>
      <c r="C327" s="9" t="inlineStr">
        <is>
          <t>Mochila para Notebook 15.6" (Modelo 5)</t>
        </is>
      </c>
      <c r="D327" s="9" t="inlineStr">
        <is>
          <t>Acessórios</t>
        </is>
      </c>
      <c r="E327" s="10" t="inlineStr">
        <is>
          <t>2025-05-15</t>
        </is>
      </c>
      <c r="F327" s="11" t="n">
        <v>1045</v>
      </c>
      <c r="G327" s="11" t="n">
        <v>1042</v>
      </c>
      <c r="H327" s="11">
        <f>G327-F327</f>
        <v/>
      </c>
      <c r="I327" s="12">
        <f>H327/F327</f>
        <v/>
      </c>
      <c r="J327" s="9" t="inlineStr">
        <is>
          <t>Carlos Eduardo Rocha</t>
        </is>
      </c>
      <c r="K327" s="13" t="inlineStr">
        <is>
          <t>C02</t>
        </is>
      </c>
      <c r="L327" s="13">
        <f>IF(H327=0, "Correto", "Divergente")</f>
        <v/>
      </c>
    </row>
    <row r="328">
      <c r="A328" s="2" t="n">
        <v>327</v>
      </c>
      <c r="B328" s="2" t="n">
        <v>87</v>
      </c>
      <c r="C328" s="3" t="inlineStr">
        <is>
          <t>Tablet 10.1" Wi-Fi 64GB (Modelo 13)</t>
        </is>
      </c>
      <c r="D328" s="3" t="inlineStr">
        <is>
          <t>Smartphones</t>
        </is>
      </c>
      <c r="E328" s="4" t="inlineStr">
        <is>
          <t>2026-03-07</t>
        </is>
      </c>
      <c r="F328" s="5" t="n">
        <v>4128</v>
      </c>
      <c r="G328" s="5" t="n">
        <v>4128</v>
      </c>
      <c r="H328" s="5">
        <f>G328-F328</f>
        <v/>
      </c>
      <c r="I328" s="6">
        <f>H328/F328</f>
        <v/>
      </c>
      <c r="J328" s="3" t="inlineStr">
        <is>
          <t>Gustavo Silveira</t>
        </is>
      </c>
      <c r="K328" s="7" t="inlineStr">
        <is>
          <t>B03</t>
        </is>
      </c>
      <c r="L328" s="7">
        <f>IF(H328=0, "Correto", "Divergente")</f>
        <v/>
      </c>
    </row>
    <row r="329">
      <c r="A329" s="8" t="n">
        <v>328</v>
      </c>
      <c r="B329" s="8" t="n">
        <v>21</v>
      </c>
      <c r="C329" s="9" t="inlineStr">
        <is>
          <t>Mini PC Ryzen 5 (Modelo 7)</t>
        </is>
      </c>
      <c r="D329" s="9" t="inlineStr">
        <is>
          <t>Informática</t>
        </is>
      </c>
      <c r="E329" s="10" t="inlineStr">
        <is>
          <t>2026-04-17</t>
        </is>
      </c>
      <c r="F329" s="11" t="n">
        <v>2475</v>
      </c>
      <c r="G329" s="11" t="n">
        <v>2475</v>
      </c>
      <c r="H329" s="11">
        <f>G329-F329</f>
        <v/>
      </c>
      <c r="I329" s="12">
        <f>H329/F329</f>
        <v/>
      </c>
      <c r="J329" s="9" t="inlineStr">
        <is>
          <t>Patricia Prado</t>
        </is>
      </c>
      <c r="K329" s="13" t="inlineStr">
        <is>
          <t>C03</t>
        </is>
      </c>
      <c r="L329" s="13">
        <f>IF(H329=0, "Correto", "Divergente")</f>
        <v/>
      </c>
    </row>
    <row r="330">
      <c r="A330" s="2" t="n">
        <v>329</v>
      </c>
      <c r="B330" s="2" t="n">
        <v>135</v>
      </c>
      <c r="C330" s="3" t="inlineStr">
        <is>
          <t>Caixa de Som USB 10W (Modelo 1)</t>
        </is>
      </c>
      <c r="D330" s="3" t="inlineStr">
        <is>
          <t>Áudio</t>
        </is>
      </c>
      <c r="E330" s="4" t="inlineStr">
        <is>
          <t>2024-12-24</t>
        </is>
      </c>
      <c r="F330" s="5" t="n">
        <v>365</v>
      </c>
      <c r="G330" s="5" t="n">
        <v>365</v>
      </c>
      <c r="H330" s="5">
        <f>G330-F330</f>
        <v/>
      </c>
      <c r="I330" s="6">
        <f>H330/F330</f>
        <v/>
      </c>
      <c r="J330" s="3" t="inlineStr">
        <is>
          <t>Fernanda Vasconcelos</t>
        </is>
      </c>
      <c r="K330" s="7" t="inlineStr">
        <is>
          <t>Depósito Externo</t>
        </is>
      </c>
      <c r="L330" s="7">
        <f>IF(H330=0, "Correto", "Divergente")</f>
        <v/>
      </c>
    </row>
    <row r="331">
      <c r="A331" s="8" t="n">
        <v>330</v>
      </c>
      <c r="B331" s="8" t="n">
        <v>111</v>
      </c>
      <c r="C331" s="9" t="inlineStr">
        <is>
          <t>Chromebook 11.6" (Modelo 7)</t>
        </is>
      </c>
      <c r="D331" s="9" t="inlineStr">
        <is>
          <t>Informática</t>
        </is>
      </c>
      <c r="E331" s="10" t="inlineStr">
        <is>
          <t>2024-12-16</t>
        </is>
      </c>
      <c r="F331" s="11" t="n">
        <v>1481</v>
      </c>
      <c r="G331" s="11" t="n">
        <v>1481</v>
      </c>
      <c r="H331" s="11">
        <f>G331-F331</f>
        <v/>
      </c>
      <c r="I331" s="12">
        <f>H331/F331</f>
        <v/>
      </c>
      <c r="J331" s="9" t="inlineStr">
        <is>
          <t>Marcelo Fontes</t>
        </is>
      </c>
      <c r="K331" s="13" t="inlineStr">
        <is>
          <t>C02</t>
        </is>
      </c>
      <c r="L331" s="13">
        <f>IF(H331=0, "Correto", "Divergente")</f>
        <v/>
      </c>
    </row>
    <row r="332">
      <c r="A332" s="2" t="n">
        <v>331</v>
      </c>
      <c r="B332" s="2" t="n">
        <v>105</v>
      </c>
      <c r="C332" s="3" t="inlineStr">
        <is>
          <t>Caixa de Som USB 10W (Modelo 1)</t>
        </is>
      </c>
      <c r="D332" s="3" t="inlineStr">
        <is>
          <t>Áudio</t>
        </is>
      </c>
      <c r="E332" s="4" t="inlineStr">
        <is>
          <t>2025-11-11</t>
        </is>
      </c>
      <c r="F332" s="5" t="n">
        <v>2034</v>
      </c>
      <c r="G332" s="5" t="n">
        <v>2034</v>
      </c>
      <c r="H332" s="5">
        <f>G332-F332</f>
        <v/>
      </c>
      <c r="I332" s="6">
        <f>H332/F332</f>
        <v/>
      </c>
      <c r="J332" s="3" t="inlineStr">
        <is>
          <t>Camila Azevedo</t>
        </is>
      </c>
      <c r="K332" s="7" t="inlineStr">
        <is>
          <t>C02</t>
        </is>
      </c>
      <c r="L332" s="7">
        <f>IF(H332=0, "Correto", "Divergente")</f>
        <v/>
      </c>
    </row>
    <row r="333">
      <c r="A333" s="8" t="n">
        <v>332</v>
      </c>
      <c r="B333" s="8" t="n">
        <v>23</v>
      </c>
      <c r="C333" s="9" t="inlineStr">
        <is>
          <t>Monitor 4K 32" Profissional (Modelo 9)</t>
        </is>
      </c>
      <c r="D333" s="9" t="inlineStr">
        <is>
          <t>Monitores</t>
        </is>
      </c>
      <c r="E333" s="10" t="inlineStr">
        <is>
          <t>2024-08-18</t>
        </is>
      </c>
      <c r="F333" s="11" t="n">
        <v>55</v>
      </c>
      <c r="G333" s="11" t="n">
        <v>55</v>
      </c>
      <c r="H333" s="11">
        <f>G333-F333</f>
        <v/>
      </c>
      <c r="I333" s="12">
        <f>H333/F333</f>
        <v/>
      </c>
      <c r="J333" s="9" t="inlineStr">
        <is>
          <t>Camila Azevedo</t>
        </is>
      </c>
      <c r="K333" s="13" t="inlineStr">
        <is>
          <t>C03</t>
        </is>
      </c>
      <c r="L333" s="13">
        <f>IF(H333=0, "Correto", "Divergente")</f>
        <v/>
      </c>
    </row>
    <row r="334">
      <c r="A334" s="2" t="n">
        <v>333</v>
      </c>
      <c r="B334" s="2" t="n">
        <v>154</v>
      </c>
      <c r="C334" s="3" t="inlineStr">
        <is>
          <t>Toner HP Preto Original (Modelo 5)</t>
        </is>
      </c>
      <c r="D334" s="3" t="inlineStr">
        <is>
          <t>Impressão</t>
        </is>
      </c>
      <c r="E334" s="4" t="inlineStr">
        <is>
          <t>2026-10-20</t>
        </is>
      </c>
      <c r="F334" s="5" t="n">
        <v>3340</v>
      </c>
      <c r="G334" s="5" t="n">
        <v>3340</v>
      </c>
      <c r="H334" s="5">
        <f>G334-F334</f>
        <v/>
      </c>
      <c r="I334" s="6">
        <f>H334/F334</f>
        <v/>
      </c>
      <c r="J334" s="3" t="inlineStr">
        <is>
          <t>Carlos Eduardo Rocha</t>
        </is>
      </c>
      <c r="K334" s="7" t="inlineStr">
        <is>
          <t>A03</t>
        </is>
      </c>
      <c r="L334" s="7">
        <f>IF(H334=0, "Correto", "Divergente")</f>
        <v/>
      </c>
    </row>
    <row r="335">
      <c r="A335" s="8" t="n">
        <v>334</v>
      </c>
      <c r="B335" s="8" t="n">
        <v>194</v>
      </c>
      <c r="C335" s="9" t="inlineStr">
        <is>
          <t>Multifuncional Tanque de Tinta (Modelo 15)</t>
        </is>
      </c>
      <c r="D335" s="9" t="inlineStr">
        <is>
          <t>Impressão</t>
        </is>
      </c>
      <c r="E335" s="10" t="inlineStr">
        <is>
          <t>2026-11-09</t>
        </is>
      </c>
      <c r="F335" s="11" t="n">
        <v>1047</v>
      </c>
      <c r="G335" s="11" t="n">
        <v>1047</v>
      </c>
      <c r="H335" s="11">
        <f>G335-F335</f>
        <v/>
      </c>
      <c r="I335" s="12">
        <f>H335/F335</f>
        <v/>
      </c>
      <c r="J335" s="9" t="inlineStr">
        <is>
          <t>Carlos Eduardo Rocha</t>
        </is>
      </c>
      <c r="K335" s="13" t="inlineStr">
        <is>
          <t>C02</t>
        </is>
      </c>
      <c r="L335" s="13">
        <f>IF(H335=0, "Correto", "Divergente")</f>
        <v/>
      </c>
    </row>
    <row r="336">
      <c r="A336" s="2" t="n">
        <v>335</v>
      </c>
      <c r="B336" s="2" t="n">
        <v>5</v>
      </c>
      <c r="C336" s="3" t="inlineStr">
        <is>
          <t>Caixa de Som Bluetooth Portátil (Modelo 6)</t>
        </is>
      </c>
      <c r="D336" s="3" t="inlineStr">
        <is>
          <t>Áudio</t>
        </is>
      </c>
      <c r="E336" s="4" t="inlineStr">
        <is>
          <t>2024-06-28</t>
        </is>
      </c>
      <c r="F336" s="5" t="n">
        <v>3477</v>
      </c>
      <c r="G336" s="5" t="n">
        <v>3252</v>
      </c>
      <c r="H336" s="5">
        <f>G336-F336</f>
        <v/>
      </c>
      <c r="I336" s="6">
        <f>H336/F336</f>
        <v/>
      </c>
      <c r="J336" s="3" t="inlineStr">
        <is>
          <t>Camila Azevedo</t>
        </is>
      </c>
      <c r="K336" s="7" t="inlineStr">
        <is>
          <t>C03</t>
        </is>
      </c>
      <c r="L336" s="7">
        <f>IF(H336=0, "Correto", "Divergente")</f>
        <v/>
      </c>
    </row>
    <row r="337">
      <c r="A337" s="8" t="n">
        <v>336</v>
      </c>
      <c r="B337" s="8" t="n">
        <v>67</v>
      </c>
      <c r="C337" s="9" t="inlineStr">
        <is>
          <t>Smartphone Empresarial 128GB (Modelo 8)</t>
        </is>
      </c>
      <c r="D337" s="9" t="inlineStr">
        <is>
          <t>Smartphones</t>
        </is>
      </c>
      <c r="E337" s="10" t="inlineStr">
        <is>
          <t>2025-10-01</t>
        </is>
      </c>
      <c r="F337" s="11" t="n">
        <v>1527</v>
      </c>
      <c r="G337" s="11" t="n">
        <v>1562</v>
      </c>
      <c r="H337" s="11">
        <f>G337-F337</f>
        <v/>
      </c>
      <c r="I337" s="12">
        <f>H337/F337</f>
        <v/>
      </c>
      <c r="J337" s="9" t="inlineStr">
        <is>
          <t>Roberto Fernandes</t>
        </is>
      </c>
      <c r="K337" s="13" t="inlineStr">
        <is>
          <t>A01</t>
        </is>
      </c>
      <c r="L337" s="13">
        <f>IF(H337=0, "Correto", "Divergente")</f>
        <v/>
      </c>
    </row>
    <row r="338">
      <c r="A338" s="2" t="n">
        <v>337</v>
      </c>
      <c r="B338" s="2" t="n">
        <v>180</v>
      </c>
      <c r="C338" s="3" t="inlineStr">
        <is>
          <t>Cooler para Processador 120mm (Modelo 1)</t>
        </is>
      </c>
      <c r="D338" s="3" t="inlineStr">
        <is>
          <t>Componentes</t>
        </is>
      </c>
      <c r="E338" s="4" t="inlineStr">
        <is>
          <t>2026-02-15</t>
        </is>
      </c>
      <c r="F338" s="5" t="n">
        <v>1256</v>
      </c>
      <c r="G338" s="5" t="n">
        <v>1256</v>
      </c>
      <c r="H338" s="5">
        <f>G338-F338</f>
        <v/>
      </c>
      <c r="I338" s="6">
        <f>H338/F338</f>
        <v/>
      </c>
      <c r="J338" s="3" t="inlineStr">
        <is>
          <t>Ricardo Mendes</t>
        </is>
      </c>
      <c r="K338" s="7" t="inlineStr">
        <is>
          <t>B01</t>
        </is>
      </c>
      <c r="L338" s="7">
        <f>IF(H338=0, "Correto", "Divergente")</f>
        <v/>
      </c>
    </row>
    <row r="339">
      <c r="A339" s="8" t="n">
        <v>338</v>
      </c>
      <c r="B339" s="8" t="n">
        <v>17</v>
      </c>
      <c r="C339" s="9" t="inlineStr">
        <is>
          <t>Capa Protetora para Tablet (Modelo 3)</t>
        </is>
      </c>
      <c r="D339" s="9" t="inlineStr">
        <is>
          <t>Smartphones</t>
        </is>
      </c>
      <c r="E339" s="10" t="inlineStr">
        <is>
          <t>2026-08-14</t>
        </is>
      </c>
      <c r="F339" s="11" t="n">
        <v>3597</v>
      </c>
      <c r="G339" s="11" t="n">
        <v>3597</v>
      </c>
      <c r="H339" s="11">
        <f>G339-F339</f>
        <v/>
      </c>
      <c r="I339" s="12">
        <f>H339/F339</f>
        <v/>
      </c>
      <c r="J339" s="9" t="inlineStr">
        <is>
          <t>Gustavo Silveira</t>
        </is>
      </c>
      <c r="K339" s="13" t="inlineStr">
        <is>
          <t>B02</t>
        </is>
      </c>
      <c r="L339" s="13">
        <f>IF(H339=0, "Correto", "Divergente")</f>
        <v/>
      </c>
    </row>
    <row r="340">
      <c r="A340" s="2" t="n">
        <v>339</v>
      </c>
      <c r="B340" s="2" t="n">
        <v>54</v>
      </c>
      <c r="C340" s="3" t="inlineStr">
        <is>
          <t>Cartucho Colorido Premium (Modelo 10)</t>
        </is>
      </c>
      <c r="D340" s="3" t="inlineStr">
        <is>
          <t>Impressão</t>
        </is>
      </c>
      <c r="E340" s="4" t="inlineStr">
        <is>
          <t>2024-12-05</t>
        </is>
      </c>
      <c r="F340" s="5" t="n">
        <v>1702</v>
      </c>
      <c r="G340" s="5" t="n">
        <v>1702</v>
      </c>
      <c r="H340" s="5">
        <f>G340-F340</f>
        <v/>
      </c>
      <c r="I340" s="6">
        <f>H340/F340</f>
        <v/>
      </c>
      <c r="J340" s="3" t="inlineStr">
        <is>
          <t>Patricia Prado</t>
        </is>
      </c>
      <c r="K340" s="7" t="inlineStr">
        <is>
          <t>C02</t>
        </is>
      </c>
      <c r="L340" s="7">
        <f>IF(H340=0, "Correto", "Divergente")</f>
        <v/>
      </c>
    </row>
    <row r="341">
      <c r="A341" s="8" t="n">
        <v>340</v>
      </c>
      <c r="B341" s="8" t="n">
        <v>115</v>
      </c>
      <c r="C341" s="9" t="inlineStr">
        <is>
          <t>Headset USB com Cancelamento de Ruído (Modelo 11)</t>
        </is>
      </c>
      <c r="D341" s="9" t="inlineStr">
        <is>
          <t>Áudio</t>
        </is>
      </c>
      <c r="E341" s="10" t="inlineStr">
        <is>
          <t>2024-11-20</t>
        </is>
      </c>
      <c r="F341" s="11" t="n">
        <v>694</v>
      </c>
      <c r="G341" s="11" t="n">
        <v>694</v>
      </c>
      <c r="H341" s="11">
        <f>G341-F341</f>
        <v/>
      </c>
      <c r="I341" s="12">
        <f>H341/F341</f>
        <v/>
      </c>
      <c r="J341" s="9" t="inlineStr">
        <is>
          <t>Beatriz Castilho</t>
        </is>
      </c>
      <c r="K341" s="13" t="inlineStr">
        <is>
          <t>B01</t>
        </is>
      </c>
      <c r="L341" s="13">
        <f>IF(H341=0, "Correto", "Divergente")</f>
        <v/>
      </c>
    </row>
    <row r="342">
      <c r="A342" s="2" t="n">
        <v>341</v>
      </c>
      <c r="B342" s="2" t="n">
        <v>195</v>
      </c>
      <c r="C342" s="3" t="inlineStr">
        <is>
          <t>Caixa de Som USB 10W (Modelo 1)</t>
        </is>
      </c>
      <c r="D342" s="3" t="inlineStr">
        <is>
          <t>Áudio</t>
        </is>
      </c>
      <c r="E342" s="4" t="inlineStr">
        <is>
          <t>2025-08-16</t>
        </is>
      </c>
      <c r="F342" s="5" t="n">
        <v>2454</v>
      </c>
      <c r="G342" s="5" t="n">
        <v>2454</v>
      </c>
      <c r="H342" s="5">
        <f>G342-F342</f>
        <v/>
      </c>
      <c r="I342" s="6">
        <f>H342/F342</f>
        <v/>
      </c>
      <c r="J342" s="3" t="inlineStr">
        <is>
          <t>Camila Azevedo</t>
        </is>
      </c>
      <c r="K342" s="7" t="inlineStr">
        <is>
          <t>C01</t>
        </is>
      </c>
      <c r="L342" s="7">
        <f>IF(H342=0, "Correto", "Divergente")</f>
        <v/>
      </c>
    </row>
    <row r="343">
      <c r="A343" s="8" t="n">
        <v>342</v>
      </c>
      <c r="B343" s="8" t="n">
        <v>113</v>
      </c>
      <c r="C343" s="9" t="inlineStr">
        <is>
          <t>Monitor 4K 32" Profissional (Modelo 9)</t>
        </is>
      </c>
      <c r="D343" s="9" t="inlineStr">
        <is>
          <t>Monitores</t>
        </is>
      </c>
      <c r="E343" s="10" t="inlineStr">
        <is>
          <t>2024-09-29</t>
        </is>
      </c>
      <c r="F343" s="11" t="n">
        <v>2875</v>
      </c>
      <c r="G343" s="11" t="n">
        <v>2764</v>
      </c>
      <c r="H343" s="11">
        <f>G343-F343</f>
        <v/>
      </c>
      <c r="I343" s="12">
        <f>H343/F343</f>
        <v/>
      </c>
      <c r="J343" s="9" t="inlineStr">
        <is>
          <t>Marcelo Fontes</t>
        </is>
      </c>
      <c r="K343" s="13" t="inlineStr">
        <is>
          <t>Depósito Externo</t>
        </is>
      </c>
      <c r="L343" s="13">
        <f>IF(H343=0, "Correto", "Divergente")</f>
        <v/>
      </c>
    </row>
    <row r="344">
      <c r="A344" s="2" t="n">
        <v>343</v>
      </c>
      <c r="B344" s="2" t="n">
        <v>148</v>
      </c>
      <c r="C344" s="3" t="inlineStr">
        <is>
          <t>Access Point Wi-Fi Corporativo (Modelo 14)</t>
        </is>
      </c>
      <c r="D344" s="3" t="inlineStr">
        <is>
          <t>Redes</t>
        </is>
      </c>
      <c r="E344" s="4" t="inlineStr">
        <is>
          <t>2024-03-13</t>
        </is>
      </c>
      <c r="F344" s="5" t="n">
        <v>1721</v>
      </c>
      <c r="G344" s="5" t="n">
        <v>1721</v>
      </c>
      <c r="H344" s="5">
        <f>G344-F344</f>
        <v/>
      </c>
      <c r="I344" s="6">
        <f>H344/F344</f>
        <v/>
      </c>
      <c r="J344" s="3" t="inlineStr">
        <is>
          <t>Mariana Alcantara</t>
        </is>
      </c>
      <c r="K344" s="7" t="inlineStr">
        <is>
          <t>A03</t>
        </is>
      </c>
      <c r="L344" s="7">
        <f>IF(H344=0, "Correto", "Divergente")</f>
        <v/>
      </c>
    </row>
    <row r="345">
      <c r="A345" s="8" t="n">
        <v>344</v>
      </c>
      <c r="B345" s="8" t="n">
        <v>187</v>
      </c>
      <c r="C345" s="9" t="inlineStr">
        <is>
          <t>Smartphone Empresarial 128GB (Modelo 8)</t>
        </is>
      </c>
      <c r="D345" s="9" t="inlineStr">
        <is>
          <t>Smartphones</t>
        </is>
      </c>
      <c r="E345" s="10" t="inlineStr">
        <is>
          <t>2026-06-03</t>
        </is>
      </c>
      <c r="F345" s="11" t="n">
        <v>3246</v>
      </c>
      <c r="G345" s="11" t="n">
        <v>3246</v>
      </c>
      <c r="H345" s="11">
        <f>G345-F345</f>
        <v/>
      </c>
      <c r="I345" s="12">
        <f>H345/F345</f>
        <v/>
      </c>
      <c r="J345" s="9" t="inlineStr">
        <is>
          <t>Camila Azevedo</t>
        </is>
      </c>
      <c r="K345" s="13" t="inlineStr">
        <is>
          <t>A03</t>
        </is>
      </c>
      <c r="L345" s="13">
        <f>IF(H345=0, "Correto", "Divergente")</f>
        <v/>
      </c>
    </row>
    <row r="346">
      <c r="A346" s="2" t="n">
        <v>345</v>
      </c>
      <c r="B346" s="2" t="n">
        <v>43</v>
      </c>
      <c r="C346" s="3" t="inlineStr">
        <is>
          <t>Monitor LED 21.5" Full HD (Modelo 14)</t>
        </is>
      </c>
      <c r="D346" s="3" t="inlineStr">
        <is>
          <t>Monitores</t>
        </is>
      </c>
      <c r="E346" s="4" t="inlineStr">
        <is>
          <t>2026-08-11</t>
        </is>
      </c>
      <c r="F346" s="5" t="n">
        <v>735</v>
      </c>
      <c r="G346" s="5" t="n">
        <v>735</v>
      </c>
      <c r="H346" s="5">
        <f>G346-F346</f>
        <v/>
      </c>
      <c r="I346" s="6">
        <f>H346/F346</f>
        <v/>
      </c>
      <c r="J346" s="3" t="inlineStr">
        <is>
          <t>Fernanda Vasconcelos</t>
        </is>
      </c>
      <c r="K346" s="7" t="inlineStr">
        <is>
          <t>A02</t>
        </is>
      </c>
      <c r="L346" s="7">
        <f>IF(H346=0, "Correto", "Divergente")</f>
        <v/>
      </c>
    </row>
    <row r="347">
      <c r="A347" s="8" t="n">
        <v>346</v>
      </c>
      <c r="B347" s="8" t="n">
        <v>45</v>
      </c>
      <c r="C347" s="9" t="inlineStr">
        <is>
          <t>Caixa de Som USB 10W (Modelo 1)</t>
        </is>
      </c>
      <c r="D347" s="9" t="inlineStr">
        <is>
          <t>Áudio</t>
        </is>
      </c>
      <c r="E347" s="10" t="inlineStr">
        <is>
          <t>2025-07-13</t>
        </is>
      </c>
      <c r="F347" s="11" t="n">
        <v>4005</v>
      </c>
      <c r="G347" s="11" t="n">
        <v>4005</v>
      </c>
      <c r="H347" s="11">
        <f>G347-F347</f>
        <v/>
      </c>
      <c r="I347" s="12">
        <f>H347/F347</f>
        <v/>
      </c>
      <c r="J347" s="9" t="inlineStr">
        <is>
          <t>Carlos Eduardo Rocha</t>
        </is>
      </c>
      <c r="K347" s="13" t="inlineStr">
        <is>
          <t>A03</t>
        </is>
      </c>
      <c r="L347" s="13">
        <f>IF(H347=0, "Correto", "Divergente")</f>
        <v/>
      </c>
    </row>
    <row r="348">
      <c r="A348" s="2" t="n">
        <v>347</v>
      </c>
      <c r="B348" s="2" t="n">
        <v>164</v>
      </c>
      <c r="C348" s="3" t="inlineStr">
        <is>
          <t>Multifuncional Tanque de Tinta (Modelo 15)</t>
        </is>
      </c>
      <c r="D348" s="3" t="inlineStr">
        <is>
          <t>Impressão</t>
        </is>
      </c>
      <c r="E348" s="4" t="inlineStr">
        <is>
          <t>2026-02-04</t>
        </is>
      </c>
      <c r="F348" s="5" t="n">
        <v>1225</v>
      </c>
      <c r="G348" s="5" t="n">
        <v>1225</v>
      </c>
      <c r="H348" s="5">
        <f>G348-F348</f>
        <v/>
      </c>
      <c r="I348" s="6">
        <f>H348/F348</f>
        <v/>
      </c>
      <c r="J348" s="3" t="inlineStr">
        <is>
          <t>Carlos Eduardo Rocha</t>
        </is>
      </c>
      <c r="K348" s="7" t="inlineStr">
        <is>
          <t>C02</t>
        </is>
      </c>
      <c r="L348" s="7">
        <f>IF(H348=0, "Correto", "Divergente")</f>
        <v/>
      </c>
    </row>
    <row r="349">
      <c r="A349" s="8" t="n">
        <v>348</v>
      </c>
      <c r="B349" s="8" t="n">
        <v>76</v>
      </c>
      <c r="C349" s="9" t="inlineStr">
        <is>
          <t>HD Externo Portátil 2TB (Modelo 2)</t>
        </is>
      </c>
      <c r="D349" s="9" t="inlineStr">
        <is>
          <t>Armazenamento</t>
        </is>
      </c>
      <c r="E349" s="10" t="inlineStr">
        <is>
          <t>2024-12-16</t>
        </is>
      </c>
      <c r="F349" s="11" t="n">
        <v>2755</v>
      </c>
      <c r="G349" s="11" t="n">
        <v>2755</v>
      </c>
      <c r="H349" s="11">
        <f>G349-F349</f>
        <v/>
      </c>
      <c r="I349" s="12">
        <f>H349/F349</f>
        <v/>
      </c>
      <c r="J349" s="9" t="inlineStr">
        <is>
          <t>Beatriz Castilho</t>
        </is>
      </c>
      <c r="K349" s="13" t="inlineStr">
        <is>
          <t>C02</t>
        </is>
      </c>
      <c r="L349" s="13">
        <f>IF(H349=0, "Correto", "Divergente")</f>
        <v/>
      </c>
    </row>
    <row r="350">
      <c r="A350" s="2" t="n">
        <v>349</v>
      </c>
      <c r="B350" s="2" t="n">
        <v>146</v>
      </c>
      <c r="C350" s="3" t="inlineStr">
        <is>
          <t>SSD NVMe 1TB M.2 (Modelo 12)</t>
        </is>
      </c>
      <c r="D350" s="3" t="inlineStr">
        <is>
          <t>Armazenamento</t>
        </is>
      </c>
      <c r="E350" s="4" t="inlineStr">
        <is>
          <t>2026-10-22</t>
        </is>
      </c>
      <c r="F350" s="5" t="n">
        <v>1552</v>
      </c>
      <c r="G350" s="5" t="n">
        <v>1552</v>
      </c>
      <c r="H350" s="5">
        <f>G350-F350</f>
        <v/>
      </c>
      <c r="I350" s="6">
        <f>H350/F350</f>
        <v/>
      </c>
      <c r="J350" s="3" t="inlineStr">
        <is>
          <t>Patricia Prado</t>
        </is>
      </c>
      <c r="K350" s="7" t="inlineStr">
        <is>
          <t>C01</t>
        </is>
      </c>
      <c r="L350" s="7">
        <f>IF(H350=0, "Correto", "Divergente")</f>
        <v/>
      </c>
    </row>
    <row r="351">
      <c r="A351" s="8" t="n">
        <v>350</v>
      </c>
      <c r="B351" s="8" t="n">
        <v>56</v>
      </c>
      <c r="C351" s="9" t="inlineStr">
        <is>
          <t>SSD NVMe 1TB M.2 (Modelo 12)</t>
        </is>
      </c>
      <c r="D351" s="9" t="inlineStr">
        <is>
          <t>Armazenamento</t>
        </is>
      </c>
      <c r="E351" s="10" t="inlineStr">
        <is>
          <t>2025-08-30</t>
        </is>
      </c>
      <c r="F351" s="11" t="n">
        <v>2673</v>
      </c>
      <c r="G351" s="11" t="n">
        <v>2673</v>
      </c>
      <c r="H351" s="11">
        <f>G351-F351</f>
        <v/>
      </c>
      <c r="I351" s="12">
        <f>H351/F351</f>
        <v/>
      </c>
      <c r="J351" s="9" t="inlineStr">
        <is>
          <t>Carlos Eduardo Rocha</t>
        </is>
      </c>
      <c r="K351" s="13" t="inlineStr">
        <is>
          <t>C01</t>
        </is>
      </c>
      <c r="L351" s="13">
        <f>IF(H351=0, "Correto", "Divergente")</f>
        <v/>
      </c>
    </row>
    <row r="352">
      <c r="A352" s="2" t="n">
        <v>351</v>
      </c>
      <c r="B352" s="2" t="n">
        <v>185</v>
      </c>
      <c r="C352" s="3" t="inlineStr">
        <is>
          <t>Caixa de Som Bluetooth Portátil (Modelo 6)</t>
        </is>
      </c>
      <c r="D352" s="3" t="inlineStr">
        <is>
          <t>Áudio</t>
        </is>
      </c>
      <c r="E352" s="4" t="inlineStr">
        <is>
          <t>2025-06-13</t>
        </is>
      </c>
      <c r="F352" s="5" t="n">
        <v>2577</v>
      </c>
      <c r="G352" s="5" t="n">
        <v>2577</v>
      </c>
      <c r="H352" s="5">
        <f>G352-F352</f>
        <v/>
      </c>
      <c r="I352" s="6">
        <f>H352/F352</f>
        <v/>
      </c>
      <c r="J352" s="3" t="inlineStr">
        <is>
          <t>Mariana Alcantara</t>
        </is>
      </c>
      <c r="K352" s="7" t="inlineStr">
        <is>
          <t>A02</t>
        </is>
      </c>
      <c r="L352" s="7">
        <f>IF(H352=0, "Correto", "Divergente")</f>
        <v/>
      </c>
    </row>
    <row r="353">
      <c r="A353" s="8" t="n">
        <v>352</v>
      </c>
      <c r="B353" s="8" t="n">
        <v>75</v>
      </c>
      <c r="C353" s="9" t="inlineStr">
        <is>
          <t>Caixa de Som USB 10W (Modelo 1)</t>
        </is>
      </c>
      <c r="D353" s="9" t="inlineStr">
        <is>
          <t>Áudio</t>
        </is>
      </c>
      <c r="E353" s="10" t="inlineStr">
        <is>
          <t>2026-02-06</t>
        </is>
      </c>
      <c r="F353" s="11" t="n">
        <v>2351</v>
      </c>
      <c r="G353" s="11" t="n">
        <v>2351</v>
      </c>
      <c r="H353" s="11">
        <f>G353-F353</f>
        <v/>
      </c>
      <c r="I353" s="12">
        <f>H353/F353</f>
        <v/>
      </c>
      <c r="J353" s="9" t="inlineStr">
        <is>
          <t>Camila Azevedo</t>
        </is>
      </c>
      <c r="K353" s="13" t="inlineStr">
        <is>
          <t>C01</t>
        </is>
      </c>
      <c r="L353" s="13">
        <f>IF(H353=0, "Correto", "Divergente")</f>
        <v/>
      </c>
    </row>
    <row r="354">
      <c r="A354" s="2" t="n">
        <v>353</v>
      </c>
      <c r="B354" s="2" t="n">
        <v>93</v>
      </c>
      <c r="C354" s="3" t="inlineStr">
        <is>
          <t>Monitor 27" Curvo 144Hz (Modelo 4)</t>
        </is>
      </c>
      <c r="D354" s="3" t="inlineStr">
        <is>
          <t>Monitores</t>
        </is>
      </c>
      <c r="E354" s="4" t="inlineStr">
        <is>
          <t>2026-12-27</t>
        </is>
      </c>
      <c r="F354" s="5" t="n">
        <v>2330</v>
      </c>
      <c r="G354" s="5" t="n">
        <v>2330</v>
      </c>
      <c r="H354" s="5">
        <f>G354-F354</f>
        <v/>
      </c>
      <c r="I354" s="6">
        <f>H354/F354</f>
        <v/>
      </c>
      <c r="J354" s="3" t="inlineStr">
        <is>
          <t>Carlos Eduardo Rocha</t>
        </is>
      </c>
      <c r="K354" s="7" t="inlineStr">
        <is>
          <t>A01</t>
        </is>
      </c>
      <c r="L354" s="7">
        <f>IF(H354=0, "Correto", "Divergente")</f>
        <v/>
      </c>
    </row>
    <row r="355">
      <c r="A355" s="8" t="n">
        <v>354</v>
      </c>
      <c r="B355" s="8" t="n">
        <v>118</v>
      </c>
      <c r="C355" s="9" t="inlineStr">
        <is>
          <t>Access Point Wi-Fi Corporativo (Modelo 14)</t>
        </is>
      </c>
      <c r="D355" s="9" t="inlineStr">
        <is>
          <t>Redes</t>
        </is>
      </c>
      <c r="E355" s="10" t="inlineStr">
        <is>
          <t>2025-07-03</t>
        </is>
      </c>
      <c r="F355" s="11" t="n">
        <v>4272</v>
      </c>
      <c r="G355" s="11" t="n">
        <v>4272</v>
      </c>
      <c r="H355" s="11">
        <f>G355-F355</f>
        <v/>
      </c>
      <c r="I355" s="12">
        <f>H355/F355</f>
        <v/>
      </c>
      <c r="J355" s="9" t="inlineStr">
        <is>
          <t>Ricardo Mendes</t>
        </is>
      </c>
      <c r="K355" s="13" t="inlineStr">
        <is>
          <t>C03</t>
        </is>
      </c>
      <c r="L355" s="13">
        <f>IF(H355=0, "Correto", "Divergente")</f>
        <v/>
      </c>
    </row>
    <row r="356">
      <c r="A356" s="2" t="n">
        <v>355</v>
      </c>
      <c r="B356" s="2" t="n">
        <v>30</v>
      </c>
      <c r="C356" s="3" t="inlineStr">
        <is>
          <t>Cooler para Processador 120mm (Modelo 1)</t>
        </is>
      </c>
      <c r="D356" s="3" t="inlineStr">
        <is>
          <t>Componentes</t>
        </is>
      </c>
      <c r="E356" s="4" t="inlineStr">
        <is>
          <t>2024-01-02</t>
        </is>
      </c>
      <c r="F356" s="5" t="n">
        <v>914</v>
      </c>
      <c r="G356" s="5" t="n">
        <v>914</v>
      </c>
      <c r="H356" s="5">
        <f>G356-F356</f>
        <v/>
      </c>
      <c r="I356" s="6">
        <f>H356/F356</f>
        <v/>
      </c>
      <c r="J356" s="3" t="inlineStr">
        <is>
          <t>Fernanda Vasconcelos</t>
        </is>
      </c>
      <c r="K356" s="7" t="inlineStr">
        <is>
          <t>A02</t>
        </is>
      </c>
      <c r="L356" s="7">
        <f>IF(H356=0, "Correto", "Divergente")</f>
        <v/>
      </c>
    </row>
    <row r="357">
      <c r="A357" s="8" t="n">
        <v>356</v>
      </c>
      <c r="B357" s="8" t="n">
        <v>96</v>
      </c>
      <c r="C357" s="9" t="inlineStr">
        <is>
          <t>Cartão de Memória MicroSD 128GB (Modelo 7)</t>
        </is>
      </c>
      <c r="D357" s="9" t="inlineStr">
        <is>
          <t>Armazenamento</t>
        </is>
      </c>
      <c r="E357" s="10" t="inlineStr">
        <is>
          <t>2026-05-27</t>
        </is>
      </c>
      <c r="F357" s="11" t="n">
        <v>349</v>
      </c>
      <c r="G357" s="11" t="n">
        <v>349</v>
      </c>
      <c r="H357" s="11">
        <f>G357-F357</f>
        <v/>
      </c>
      <c r="I357" s="12">
        <f>H357/F357</f>
        <v/>
      </c>
      <c r="J357" s="9" t="inlineStr">
        <is>
          <t>Carlos Eduardo Rocha</t>
        </is>
      </c>
      <c r="K357" s="13" t="inlineStr">
        <is>
          <t>C03</t>
        </is>
      </c>
      <c r="L357" s="13">
        <f>IF(H357=0, "Correto", "Divergente")</f>
        <v/>
      </c>
    </row>
    <row r="358">
      <c r="A358" s="2" t="n">
        <v>357</v>
      </c>
      <c r="B358" s="2" t="n">
        <v>183</v>
      </c>
      <c r="C358" s="3" t="inlineStr">
        <is>
          <t>Monitor 27" Curvo 144Hz (Modelo 4)</t>
        </is>
      </c>
      <c r="D358" s="3" t="inlineStr">
        <is>
          <t>Monitores</t>
        </is>
      </c>
      <c r="E358" s="4" t="inlineStr">
        <is>
          <t>2025-02-09</t>
        </is>
      </c>
      <c r="F358" s="5" t="n">
        <v>3804</v>
      </c>
      <c r="G358" s="5" t="n">
        <v>3804</v>
      </c>
      <c r="H358" s="5">
        <f>G358-F358</f>
        <v/>
      </c>
      <c r="I358" s="6">
        <f>H358/F358</f>
        <v/>
      </c>
      <c r="J358" s="3" t="inlineStr">
        <is>
          <t>Mariana Alcantara</t>
        </is>
      </c>
      <c r="K358" s="7" t="inlineStr">
        <is>
          <t>Depósito Externo</t>
        </is>
      </c>
      <c r="L358" s="7">
        <f>IF(H358=0, "Correto", "Divergente")</f>
        <v/>
      </c>
    </row>
    <row r="359">
      <c r="A359" s="8" t="n">
        <v>358</v>
      </c>
      <c r="B359" s="8" t="n">
        <v>85</v>
      </c>
      <c r="C359" s="9" t="inlineStr">
        <is>
          <t>Headset USB com Cancelamento de Ruído (Modelo 11)</t>
        </is>
      </c>
      <c r="D359" s="9" t="inlineStr">
        <is>
          <t>Áudio</t>
        </is>
      </c>
      <c r="E359" s="10" t="inlineStr">
        <is>
          <t>2026-05-12</t>
        </is>
      </c>
      <c r="F359" s="11" t="n">
        <v>529</v>
      </c>
      <c r="G359" s="11" t="n">
        <v>453</v>
      </c>
      <c r="H359" s="11">
        <f>G359-F359</f>
        <v/>
      </c>
      <c r="I359" s="12">
        <f>H359/F359</f>
        <v/>
      </c>
      <c r="J359" s="9" t="inlineStr">
        <is>
          <t>Mariana Alcantara</t>
        </is>
      </c>
      <c r="K359" s="13" t="inlineStr">
        <is>
          <t>A01</t>
        </is>
      </c>
      <c r="L359" s="13">
        <f>IF(H359=0, "Correto", "Divergente")</f>
        <v/>
      </c>
    </row>
    <row r="360">
      <c r="A360" s="2" t="n">
        <v>359</v>
      </c>
      <c r="B360" s="2" t="n">
        <v>30</v>
      </c>
      <c r="C360" s="3" t="inlineStr">
        <is>
          <t>Cooler para Processador 120mm (Modelo 1)</t>
        </is>
      </c>
      <c r="D360" s="3" t="inlineStr">
        <is>
          <t>Componentes</t>
        </is>
      </c>
      <c r="E360" s="4" t="inlineStr">
        <is>
          <t>2025-11-21</t>
        </is>
      </c>
      <c r="F360" s="5" t="n">
        <v>2341</v>
      </c>
      <c r="G360" s="5" t="n">
        <v>2306</v>
      </c>
      <c r="H360" s="5">
        <f>G360-F360</f>
        <v/>
      </c>
      <c r="I360" s="6">
        <f>H360/F360</f>
        <v/>
      </c>
      <c r="J360" s="3" t="inlineStr">
        <is>
          <t>Gustavo Silveira</t>
        </is>
      </c>
      <c r="K360" s="7" t="inlineStr">
        <is>
          <t>A02</t>
        </is>
      </c>
      <c r="L360" s="7">
        <f>IF(H360=0, "Correto", "Divergente")</f>
        <v/>
      </c>
    </row>
    <row r="361">
      <c r="A361" s="8" t="n">
        <v>360</v>
      </c>
      <c r="B361" s="8" t="n">
        <v>94</v>
      </c>
      <c r="C361" s="9" t="inlineStr">
        <is>
          <t>Toner HP Preto Original (Modelo 5)</t>
        </is>
      </c>
      <c r="D361" s="9" t="inlineStr">
        <is>
          <t>Impressão</t>
        </is>
      </c>
      <c r="E361" s="10" t="inlineStr">
        <is>
          <t>2024-07-27</t>
        </is>
      </c>
      <c r="F361" s="11" t="n">
        <v>2907</v>
      </c>
      <c r="G361" s="11" t="n">
        <v>2827</v>
      </c>
      <c r="H361" s="11">
        <f>G361-F361</f>
        <v/>
      </c>
      <c r="I361" s="12">
        <f>H361/F361</f>
        <v/>
      </c>
      <c r="J361" s="9" t="inlineStr">
        <is>
          <t>Fernanda Vasconcelos</t>
        </is>
      </c>
      <c r="K361" s="13" t="inlineStr">
        <is>
          <t>Depósito Externo</t>
        </is>
      </c>
      <c r="L361" s="13">
        <f>IF(H361=0, "Correto", "Divergente")</f>
        <v/>
      </c>
    </row>
    <row r="362">
      <c r="A362" s="2" t="n">
        <v>361</v>
      </c>
      <c r="B362" s="2" t="n">
        <v>162</v>
      </c>
      <c r="C362" s="3" t="inlineStr">
        <is>
          <t>Teclado Mecânico RGB (Modelo 13)</t>
        </is>
      </c>
      <c r="D362" s="3" t="inlineStr">
        <is>
          <t>Periféricos</t>
        </is>
      </c>
      <c r="E362" s="4" t="inlineStr">
        <is>
          <t>2024-10-01</t>
        </is>
      </c>
      <c r="F362" s="5" t="n">
        <v>566</v>
      </c>
      <c r="G362" s="5" t="n">
        <v>566</v>
      </c>
      <c r="H362" s="5">
        <f>G362-F362</f>
        <v/>
      </c>
      <c r="I362" s="6">
        <f>H362/F362</f>
        <v/>
      </c>
      <c r="J362" s="3" t="inlineStr">
        <is>
          <t>Roberto Fernandes</t>
        </is>
      </c>
      <c r="K362" s="7" t="inlineStr">
        <is>
          <t>B03</t>
        </is>
      </c>
      <c r="L362" s="7">
        <f>IF(H362=0, "Correto", "Divergente")</f>
        <v/>
      </c>
    </row>
    <row r="363">
      <c r="A363" s="8" t="n">
        <v>362</v>
      </c>
      <c r="B363" s="8" t="n">
        <v>75</v>
      </c>
      <c r="C363" s="9" t="inlineStr">
        <is>
          <t>Caixa de Som USB 10W (Modelo 1)</t>
        </is>
      </c>
      <c r="D363" s="9" t="inlineStr">
        <is>
          <t>Áudio</t>
        </is>
      </c>
      <c r="E363" s="10" t="inlineStr">
        <is>
          <t>2024-03-20</t>
        </is>
      </c>
      <c r="F363" s="11" t="n">
        <v>5000</v>
      </c>
      <c r="G363" s="11" t="n">
        <v>4834</v>
      </c>
      <c r="H363" s="11">
        <f>G363-F363</f>
        <v/>
      </c>
      <c r="I363" s="12">
        <f>H363/F363</f>
        <v/>
      </c>
      <c r="J363" s="9" t="inlineStr">
        <is>
          <t>Mariana Alcantara</t>
        </is>
      </c>
      <c r="K363" s="13" t="inlineStr">
        <is>
          <t>C03</t>
        </is>
      </c>
      <c r="L363" s="13">
        <f>IF(H363=0, "Correto", "Divergente")</f>
        <v/>
      </c>
    </row>
    <row r="364">
      <c r="A364" s="2" t="n">
        <v>363</v>
      </c>
      <c r="B364" s="2" t="n">
        <v>165</v>
      </c>
      <c r="C364" s="3" t="inlineStr">
        <is>
          <t>Caixa de Som USB 10W (Modelo 1)</t>
        </is>
      </c>
      <c r="D364" s="3" t="inlineStr">
        <is>
          <t>Áudio</t>
        </is>
      </c>
      <c r="E364" s="4" t="inlineStr">
        <is>
          <t>2026-10-29</t>
        </is>
      </c>
      <c r="F364" s="5" t="n">
        <v>485</v>
      </c>
      <c r="G364" s="5" t="n">
        <v>485</v>
      </c>
      <c r="H364" s="5">
        <f>G364-F364</f>
        <v/>
      </c>
      <c r="I364" s="6">
        <f>H364/F364</f>
        <v/>
      </c>
      <c r="J364" s="3" t="inlineStr">
        <is>
          <t>Camila Azevedo</t>
        </is>
      </c>
      <c r="K364" s="7" t="inlineStr">
        <is>
          <t>B03</t>
        </is>
      </c>
      <c r="L364" s="7">
        <f>IF(H364=0, "Correto", "Divergente")</f>
        <v/>
      </c>
    </row>
    <row r="365">
      <c r="A365" s="8" t="n">
        <v>364</v>
      </c>
      <c r="B365" s="8" t="n">
        <v>64</v>
      </c>
      <c r="C365" s="9" t="inlineStr">
        <is>
          <t>Toner HP Preto Original (Modelo 5)</t>
        </is>
      </c>
      <c r="D365" s="9" t="inlineStr">
        <is>
          <t>Impressão</t>
        </is>
      </c>
      <c r="E365" s="10" t="inlineStr">
        <is>
          <t>2024-06-04</t>
        </is>
      </c>
      <c r="F365" s="11" t="n">
        <v>2449</v>
      </c>
      <c r="G365" s="11" t="n">
        <v>2449</v>
      </c>
      <c r="H365" s="11">
        <f>G365-F365</f>
        <v/>
      </c>
      <c r="I365" s="12">
        <f>H365/F365</f>
        <v/>
      </c>
      <c r="J365" s="9" t="inlineStr">
        <is>
          <t>Patricia Prado</t>
        </is>
      </c>
      <c r="K365" s="13" t="inlineStr">
        <is>
          <t>B01</t>
        </is>
      </c>
      <c r="L365" s="13">
        <f>IF(H365=0, "Correto", "Divergente")</f>
        <v/>
      </c>
    </row>
    <row r="366">
      <c r="A366" s="2" t="n">
        <v>365</v>
      </c>
      <c r="B366" s="2" t="n">
        <v>56</v>
      </c>
      <c r="C366" s="3" t="inlineStr">
        <is>
          <t>SSD NVMe 1TB M.2 (Modelo 12)</t>
        </is>
      </c>
      <c r="D366" s="3" t="inlineStr">
        <is>
          <t>Armazenamento</t>
        </is>
      </c>
      <c r="E366" s="4" t="inlineStr">
        <is>
          <t>2026-02-22</t>
        </is>
      </c>
      <c r="F366" s="5" t="n">
        <v>4639</v>
      </c>
      <c r="G366" s="5" t="n">
        <v>4697</v>
      </c>
      <c r="H366" s="5">
        <f>G366-F366</f>
        <v/>
      </c>
      <c r="I366" s="6">
        <f>H366/F366</f>
        <v/>
      </c>
      <c r="J366" s="3" t="inlineStr">
        <is>
          <t>Beatriz Castilho</t>
        </is>
      </c>
      <c r="K366" s="7" t="inlineStr">
        <is>
          <t>A02</t>
        </is>
      </c>
      <c r="L366" s="7">
        <f>IF(H366=0, "Correto", "Divergente")</f>
        <v/>
      </c>
    </row>
    <row r="367">
      <c r="A367" s="8" t="n">
        <v>366</v>
      </c>
      <c r="B367" s="8" t="n">
        <v>107</v>
      </c>
      <c r="C367" s="9" t="inlineStr">
        <is>
          <t>Capa Protetora para Tablet (Modelo 3)</t>
        </is>
      </c>
      <c r="D367" s="9" t="inlineStr">
        <is>
          <t>Smartphones</t>
        </is>
      </c>
      <c r="E367" s="10" t="inlineStr">
        <is>
          <t>2026-12-10</t>
        </is>
      </c>
      <c r="F367" s="11" t="n">
        <v>2675</v>
      </c>
      <c r="G367" s="11" t="n">
        <v>2689</v>
      </c>
      <c r="H367" s="11">
        <f>G367-F367</f>
        <v/>
      </c>
      <c r="I367" s="12">
        <f>H367/F367</f>
        <v/>
      </c>
      <c r="J367" s="9" t="inlineStr">
        <is>
          <t>Roberto Fernandes</t>
        </is>
      </c>
      <c r="K367" s="13" t="inlineStr">
        <is>
          <t>B02</t>
        </is>
      </c>
      <c r="L367" s="13">
        <f>IF(H367=0, "Correto", "Divergente")</f>
        <v/>
      </c>
    </row>
    <row r="368">
      <c r="A368" s="2" t="n">
        <v>367</v>
      </c>
      <c r="B368" s="2" t="n">
        <v>119</v>
      </c>
      <c r="C368" s="3" t="inlineStr">
        <is>
          <t>Mousepad Extra Grande (Modelo 15)</t>
        </is>
      </c>
      <c r="D368" s="3" t="inlineStr">
        <is>
          <t>Acessórios</t>
        </is>
      </c>
      <c r="E368" s="4" t="inlineStr">
        <is>
          <t>2025-09-13</t>
        </is>
      </c>
      <c r="F368" s="5" t="n">
        <v>2176</v>
      </c>
      <c r="G368" s="5" t="n">
        <v>2370</v>
      </c>
      <c r="H368" s="5">
        <f>G368-F368</f>
        <v/>
      </c>
      <c r="I368" s="6">
        <f>H368/F368</f>
        <v/>
      </c>
      <c r="J368" s="3" t="inlineStr">
        <is>
          <t>Carlos Eduardo Rocha</t>
        </is>
      </c>
      <c r="K368" s="7" t="inlineStr">
        <is>
          <t>B03</t>
        </is>
      </c>
      <c r="L368" s="7">
        <f>IF(H368=0, "Correto", "Divergente")</f>
        <v/>
      </c>
    </row>
    <row r="369">
      <c r="A369" s="8" t="n">
        <v>368</v>
      </c>
      <c r="B369" s="8" t="n">
        <v>150</v>
      </c>
      <c r="C369" s="9" t="inlineStr">
        <is>
          <t>Cooler para Processador 120mm (Modelo 1)</t>
        </is>
      </c>
      <c r="D369" s="9" t="inlineStr">
        <is>
          <t>Componentes</t>
        </is>
      </c>
      <c r="E369" s="10" t="inlineStr">
        <is>
          <t>2025-06-30</t>
        </is>
      </c>
      <c r="F369" s="11" t="n">
        <v>4968</v>
      </c>
      <c r="G369" s="11" t="n">
        <v>4968</v>
      </c>
      <c r="H369" s="11">
        <f>G369-F369</f>
        <v/>
      </c>
      <c r="I369" s="12">
        <f>H369/F369</f>
        <v/>
      </c>
      <c r="J369" s="9" t="inlineStr">
        <is>
          <t>Gustavo Silveira</t>
        </is>
      </c>
      <c r="K369" s="13" t="inlineStr">
        <is>
          <t>B03</t>
        </is>
      </c>
      <c r="L369" s="13">
        <f>IF(H369=0, "Correto", "Divergente")</f>
        <v/>
      </c>
    </row>
    <row r="370">
      <c r="A370" s="2" t="n">
        <v>369</v>
      </c>
      <c r="B370" s="2" t="n">
        <v>94</v>
      </c>
      <c r="C370" s="3" t="inlineStr">
        <is>
          <t>Toner HP Preto Original (Modelo 5)</t>
        </is>
      </c>
      <c r="D370" s="3" t="inlineStr">
        <is>
          <t>Impressão</t>
        </is>
      </c>
      <c r="E370" s="4" t="inlineStr">
        <is>
          <t>2026-12-04</t>
        </is>
      </c>
      <c r="F370" s="5" t="n">
        <v>2899</v>
      </c>
      <c r="G370" s="5" t="n">
        <v>3232</v>
      </c>
      <c r="H370" s="5">
        <f>G370-F370</f>
        <v/>
      </c>
      <c r="I370" s="6">
        <f>H370/F370</f>
        <v/>
      </c>
      <c r="J370" s="3" t="inlineStr">
        <is>
          <t>Roberto Fernandes</t>
        </is>
      </c>
      <c r="K370" s="7" t="inlineStr">
        <is>
          <t>B03</t>
        </is>
      </c>
      <c r="L370" s="7">
        <f>IF(H370=0, "Correto", "Divergente")</f>
        <v/>
      </c>
    </row>
    <row r="371">
      <c r="A371" s="8" t="n">
        <v>370</v>
      </c>
      <c r="B371" s="8" t="n">
        <v>47</v>
      </c>
      <c r="C371" s="9" t="inlineStr">
        <is>
          <t>Capa Protetora para Tablet (Modelo 3)</t>
        </is>
      </c>
      <c r="D371" s="9" t="inlineStr">
        <is>
          <t>Smartphones</t>
        </is>
      </c>
      <c r="E371" s="10" t="inlineStr">
        <is>
          <t>2026-12-28</t>
        </is>
      </c>
      <c r="F371" s="11" t="n">
        <v>2231</v>
      </c>
      <c r="G371" s="11" t="n">
        <v>2231</v>
      </c>
      <c r="H371" s="11">
        <f>G371-F371</f>
        <v/>
      </c>
      <c r="I371" s="12">
        <f>H371/F371</f>
        <v/>
      </c>
      <c r="J371" s="9" t="inlineStr">
        <is>
          <t>Gustavo Silveira</t>
        </is>
      </c>
      <c r="K371" s="13" t="inlineStr">
        <is>
          <t>A02</t>
        </is>
      </c>
      <c r="L371" s="13">
        <f>IF(H371=0, "Correto", "Divergente")</f>
        <v/>
      </c>
    </row>
    <row r="372">
      <c r="A372" s="2" t="n">
        <v>371</v>
      </c>
      <c r="B372" s="2" t="n">
        <v>134</v>
      </c>
      <c r="C372" s="3" t="inlineStr">
        <is>
          <t>Multifuncional Tanque de Tinta (Modelo 15)</t>
        </is>
      </c>
      <c r="D372" s="3" t="inlineStr">
        <is>
          <t>Impressão</t>
        </is>
      </c>
      <c r="E372" s="4" t="inlineStr">
        <is>
          <t>2026-05-13</t>
        </is>
      </c>
      <c r="F372" s="5" t="n">
        <v>1757</v>
      </c>
      <c r="G372" s="5" t="n">
        <v>1757</v>
      </c>
      <c r="H372" s="5">
        <f>G372-F372</f>
        <v/>
      </c>
      <c r="I372" s="6">
        <f>H372/F372</f>
        <v/>
      </c>
      <c r="J372" s="3" t="inlineStr">
        <is>
          <t>Beatriz Castilho</t>
        </is>
      </c>
      <c r="K372" s="7" t="inlineStr">
        <is>
          <t>C01</t>
        </is>
      </c>
      <c r="L372" s="7">
        <f>IF(H372=0, "Correto", "Divergente")</f>
        <v/>
      </c>
    </row>
    <row r="373">
      <c r="A373" s="8" t="n">
        <v>372</v>
      </c>
      <c r="B373" s="8" t="n">
        <v>21</v>
      </c>
      <c r="C373" s="9" t="inlineStr">
        <is>
          <t>Mini PC Ryzen 5 (Modelo 7)</t>
        </is>
      </c>
      <c r="D373" s="9" t="inlineStr">
        <is>
          <t>Informática</t>
        </is>
      </c>
      <c r="E373" s="10" t="inlineStr">
        <is>
          <t>2025-03-19</t>
        </is>
      </c>
      <c r="F373" s="11" t="n">
        <v>3042</v>
      </c>
      <c r="G373" s="11" t="n">
        <v>3042</v>
      </c>
      <c r="H373" s="11">
        <f>G373-F373</f>
        <v/>
      </c>
      <c r="I373" s="12">
        <f>H373/F373</f>
        <v/>
      </c>
      <c r="J373" s="9" t="inlineStr">
        <is>
          <t>Beatriz Castilho</t>
        </is>
      </c>
      <c r="K373" s="13" t="inlineStr">
        <is>
          <t>A01</t>
        </is>
      </c>
      <c r="L373" s="13">
        <f>IF(H373=0, "Correto", "Divergente")</f>
        <v/>
      </c>
    </row>
    <row r="374">
      <c r="A374" s="2" t="n">
        <v>373</v>
      </c>
      <c r="B374" s="2" t="n">
        <v>106</v>
      </c>
      <c r="C374" s="3" t="inlineStr">
        <is>
          <t>HD Externo Portátil 2TB (Modelo 2)</t>
        </is>
      </c>
      <c r="D374" s="3" t="inlineStr">
        <is>
          <t>Armazenamento</t>
        </is>
      </c>
      <c r="E374" s="4" t="inlineStr">
        <is>
          <t>2025-08-10</t>
        </is>
      </c>
      <c r="F374" s="5" t="n">
        <v>1292</v>
      </c>
      <c r="G374" s="5" t="n">
        <v>1292</v>
      </c>
      <c r="H374" s="5">
        <f>G374-F374</f>
        <v/>
      </c>
      <c r="I374" s="6">
        <f>H374/F374</f>
        <v/>
      </c>
      <c r="J374" s="3" t="inlineStr">
        <is>
          <t>Gustavo Silveira</t>
        </is>
      </c>
      <c r="K374" s="7" t="inlineStr">
        <is>
          <t>Depósito Externo</t>
        </is>
      </c>
      <c r="L374" s="7">
        <f>IF(H374=0, "Correto", "Divergente")</f>
        <v/>
      </c>
    </row>
    <row r="375">
      <c r="A375" s="8" t="n">
        <v>374</v>
      </c>
      <c r="B375" s="8" t="n">
        <v>139</v>
      </c>
      <c r="C375" s="9" t="inlineStr">
        <is>
          <t>Mochila para Notebook 15.6" (Modelo 5)</t>
        </is>
      </c>
      <c r="D375" s="9" t="inlineStr">
        <is>
          <t>Acessórios</t>
        </is>
      </c>
      <c r="E375" s="10" t="inlineStr">
        <is>
          <t>2024-09-04</t>
        </is>
      </c>
      <c r="F375" s="11" t="n">
        <v>2516</v>
      </c>
      <c r="G375" s="11" t="n">
        <v>2516</v>
      </c>
      <c r="H375" s="11">
        <f>G375-F375</f>
        <v/>
      </c>
      <c r="I375" s="12">
        <f>H375/F375</f>
        <v/>
      </c>
      <c r="J375" s="9" t="inlineStr">
        <is>
          <t>Fernanda Vasconcelos</t>
        </is>
      </c>
      <c r="K375" s="13" t="inlineStr">
        <is>
          <t>A02</t>
        </is>
      </c>
      <c r="L375" s="13">
        <f>IF(H375=0, "Correto", "Divergente")</f>
        <v/>
      </c>
    </row>
    <row r="376">
      <c r="A376" s="2" t="n">
        <v>375</v>
      </c>
      <c r="B376" s="2" t="n">
        <v>120</v>
      </c>
      <c r="C376" s="3" t="inlineStr">
        <is>
          <t>Cooler para Processador 120mm (Modelo 1)</t>
        </is>
      </c>
      <c r="D376" s="3" t="inlineStr">
        <is>
          <t>Componentes</t>
        </is>
      </c>
      <c r="E376" s="4" t="inlineStr">
        <is>
          <t>2024-06-16</t>
        </is>
      </c>
      <c r="F376" s="5" t="n">
        <v>2240</v>
      </c>
      <c r="G376" s="5" t="n">
        <v>2240</v>
      </c>
      <c r="H376" s="5">
        <f>G376-F376</f>
        <v/>
      </c>
      <c r="I376" s="6">
        <f>H376/F376</f>
        <v/>
      </c>
      <c r="J376" s="3" t="inlineStr">
        <is>
          <t>Carlos Eduardo Rocha</t>
        </is>
      </c>
      <c r="K376" s="7" t="inlineStr">
        <is>
          <t>C02</t>
        </is>
      </c>
      <c r="L376" s="7">
        <f>IF(H376=0, "Correto", "Divergente")</f>
        <v/>
      </c>
    </row>
    <row r="377">
      <c r="A377" s="8" t="n">
        <v>376</v>
      </c>
      <c r="B377" s="8" t="n">
        <v>71</v>
      </c>
      <c r="C377" s="9" t="inlineStr">
        <is>
          <t>Chromebook 11.6" (Modelo 12)</t>
        </is>
      </c>
      <c r="D377" s="9" t="inlineStr">
        <is>
          <t>Informática</t>
        </is>
      </c>
      <c r="E377" s="10" t="inlineStr">
        <is>
          <t>2026-07-31</t>
        </is>
      </c>
      <c r="F377" s="11" t="n">
        <v>3696</v>
      </c>
      <c r="G377" s="11" t="n">
        <v>3696</v>
      </c>
      <c r="H377" s="11">
        <f>G377-F377</f>
        <v/>
      </c>
      <c r="I377" s="12">
        <f>H377/F377</f>
        <v/>
      </c>
      <c r="J377" s="9" t="inlineStr">
        <is>
          <t>Fernanda Vasconcelos</t>
        </is>
      </c>
      <c r="K377" s="13" t="inlineStr">
        <is>
          <t>C03</t>
        </is>
      </c>
      <c r="L377" s="13">
        <f>IF(H377=0, "Correto", "Divergente")</f>
        <v/>
      </c>
    </row>
    <row r="378">
      <c r="A378" s="2" t="n">
        <v>377</v>
      </c>
      <c r="B378" s="2" t="n">
        <v>133</v>
      </c>
      <c r="C378" s="3" t="inlineStr">
        <is>
          <t>Monitor LED 21.5" Full HD (Modelo 14)</t>
        </is>
      </c>
      <c r="D378" s="3" t="inlineStr">
        <is>
          <t>Monitores</t>
        </is>
      </c>
      <c r="E378" s="4" t="inlineStr">
        <is>
          <t>2026-04-07</t>
        </is>
      </c>
      <c r="F378" s="5" t="n">
        <v>4646</v>
      </c>
      <c r="G378" s="5" t="n">
        <v>4646</v>
      </c>
      <c r="H378" s="5">
        <f>G378-F378</f>
        <v/>
      </c>
      <c r="I378" s="6">
        <f>H378/F378</f>
        <v/>
      </c>
      <c r="J378" s="3" t="inlineStr">
        <is>
          <t>Carlos Eduardo Rocha</t>
        </is>
      </c>
      <c r="K378" s="7" t="inlineStr">
        <is>
          <t>B02</t>
        </is>
      </c>
      <c r="L378" s="7">
        <f>IF(H378=0, "Correto", "Divergente")</f>
        <v/>
      </c>
    </row>
    <row r="379">
      <c r="A379" s="8" t="n">
        <v>378</v>
      </c>
      <c r="B379" s="8" t="n">
        <v>190</v>
      </c>
      <c r="C379" s="9" t="inlineStr">
        <is>
          <t>Fonte Atx 500W 80 Plus (Modelo 11)</t>
        </is>
      </c>
      <c r="D379" s="9" t="inlineStr">
        <is>
          <t>Componentes</t>
        </is>
      </c>
      <c r="E379" s="10" t="inlineStr">
        <is>
          <t>2025-07-10</t>
        </is>
      </c>
      <c r="F379" s="11" t="n">
        <v>615</v>
      </c>
      <c r="G379" s="11" t="n">
        <v>615</v>
      </c>
      <c r="H379" s="11">
        <f>G379-F379</f>
        <v/>
      </c>
      <c r="I379" s="12">
        <f>H379/F379</f>
        <v/>
      </c>
      <c r="J379" s="9" t="inlineStr">
        <is>
          <t>Mariana Alcantara</t>
        </is>
      </c>
      <c r="K379" s="13" t="inlineStr">
        <is>
          <t>B01</t>
        </is>
      </c>
      <c r="L379" s="13">
        <f>IF(H379=0, "Correto", "Divergente")</f>
        <v/>
      </c>
    </row>
    <row r="380">
      <c r="A380" s="2" t="n">
        <v>379</v>
      </c>
      <c r="B380" s="2" t="n">
        <v>167</v>
      </c>
      <c r="C380" s="3" t="inlineStr">
        <is>
          <t>Capa Protetora para Tablet (Modelo 3)</t>
        </is>
      </c>
      <c r="D380" s="3" t="inlineStr">
        <is>
          <t>Smartphones</t>
        </is>
      </c>
      <c r="E380" s="4" t="inlineStr">
        <is>
          <t>2025-06-01</t>
        </is>
      </c>
      <c r="F380" s="5" t="n">
        <v>376</v>
      </c>
      <c r="G380" s="5" t="n">
        <v>426</v>
      </c>
      <c r="H380" s="5">
        <f>G380-F380</f>
        <v/>
      </c>
      <c r="I380" s="6">
        <f>H380/F380</f>
        <v/>
      </c>
      <c r="J380" s="3" t="inlineStr">
        <is>
          <t>Gustavo Silveira</t>
        </is>
      </c>
      <c r="K380" s="7" t="inlineStr">
        <is>
          <t>Depósito Externo</t>
        </is>
      </c>
      <c r="L380" s="7">
        <f>IF(H380=0, "Correto", "Divergente")</f>
        <v/>
      </c>
    </row>
    <row r="381">
      <c r="A381" s="8" t="n">
        <v>380</v>
      </c>
      <c r="B381" s="8" t="n">
        <v>163</v>
      </c>
      <c r="C381" s="9" t="inlineStr">
        <is>
          <t>Monitor LED 21.5" Full HD (Modelo 14)</t>
        </is>
      </c>
      <c r="D381" s="9" t="inlineStr">
        <is>
          <t>Monitores</t>
        </is>
      </c>
      <c r="E381" s="10" t="inlineStr">
        <is>
          <t>2025-10-05</t>
        </is>
      </c>
      <c r="F381" s="11" t="n">
        <v>3468</v>
      </c>
      <c r="G381" s="11" t="n">
        <v>3162</v>
      </c>
      <c r="H381" s="11">
        <f>G381-F381</f>
        <v/>
      </c>
      <c r="I381" s="12">
        <f>H381/F381</f>
        <v/>
      </c>
      <c r="J381" s="9" t="inlineStr">
        <is>
          <t>Ricardo Mendes</t>
        </is>
      </c>
      <c r="K381" s="13" t="inlineStr">
        <is>
          <t>B01</t>
        </is>
      </c>
      <c r="L381" s="13">
        <f>IF(H381=0, "Correto", "Divergente")</f>
        <v/>
      </c>
    </row>
    <row r="382">
      <c r="A382" s="2" t="n">
        <v>381</v>
      </c>
      <c r="B382" s="2" t="n">
        <v>150</v>
      </c>
      <c r="C382" s="3" t="inlineStr">
        <is>
          <t>Cooler para Processador 120mm (Modelo 1)</t>
        </is>
      </c>
      <c r="D382" s="3" t="inlineStr">
        <is>
          <t>Componentes</t>
        </is>
      </c>
      <c r="E382" s="4" t="inlineStr">
        <is>
          <t>2026-01-09</t>
        </is>
      </c>
      <c r="F382" s="5" t="n">
        <v>2260</v>
      </c>
      <c r="G382" s="5" t="n">
        <v>2260</v>
      </c>
      <c r="H382" s="5">
        <f>G382-F382</f>
        <v/>
      </c>
      <c r="I382" s="6">
        <f>H382/F382</f>
        <v/>
      </c>
      <c r="J382" s="3" t="inlineStr">
        <is>
          <t>Mariana Alcantara</t>
        </is>
      </c>
      <c r="K382" s="7" t="inlineStr">
        <is>
          <t>C03</t>
        </is>
      </c>
      <c r="L382" s="7">
        <f>IF(H382=0, "Correto", "Divergente")</f>
        <v/>
      </c>
    </row>
    <row r="383">
      <c r="A383" s="8" t="n">
        <v>382</v>
      </c>
      <c r="B383" s="8" t="n">
        <v>16</v>
      </c>
      <c r="C383" s="9" t="inlineStr">
        <is>
          <t>HD Externo Portátil 2TB (Modelo 2)</t>
        </is>
      </c>
      <c r="D383" s="9" t="inlineStr">
        <is>
          <t>Armazenamento</t>
        </is>
      </c>
      <c r="E383" s="10" t="inlineStr">
        <is>
          <t>2026-07-03</t>
        </is>
      </c>
      <c r="F383" s="11" t="n">
        <v>2867</v>
      </c>
      <c r="G383" s="11" t="n">
        <v>2867</v>
      </c>
      <c r="H383" s="11">
        <f>G383-F383</f>
        <v/>
      </c>
      <c r="I383" s="12">
        <f>H383/F383</f>
        <v/>
      </c>
      <c r="J383" s="9" t="inlineStr">
        <is>
          <t>Marcelo Fontes</t>
        </is>
      </c>
      <c r="K383" s="13" t="inlineStr">
        <is>
          <t>A02</t>
        </is>
      </c>
      <c r="L383" s="13">
        <f>IF(H383=0, "Correto", "Divergente")</f>
        <v/>
      </c>
    </row>
    <row r="384">
      <c r="A384" s="2" t="n">
        <v>383</v>
      </c>
      <c r="B384" s="2" t="n">
        <v>127</v>
      </c>
      <c r="C384" s="3" t="inlineStr">
        <is>
          <t>Smartphone Empresarial 128GB (Modelo 8)</t>
        </is>
      </c>
      <c r="D384" s="3" t="inlineStr">
        <is>
          <t>Smartphones</t>
        </is>
      </c>
      <c r="E384" s="4" t="inlineStr">
        <is>
          <t>2024-10-24</t>
        </is>
      </c>
      <c r="F384" s="5" t="n">
        <v>2289</v>
      </c>
      <c r="G384" s="5" t="n">
        <v>2289</v>
      </c>
      <c r="H384" s="5">
        <f>G384-F384</f>
        <v/>
      </c>
      <c r="I384" s="6">
        <f>H384/F384</f>
        <v/>
      </c>
      <c r="J384" s="3" t="inlineStr">
        <is>
          <t>Gustavo Silveira</t>
        </is>
      </c>
      <c r="K384" s="7" t="inlineStr">
        <is>
          <t>B02</t>
        </is>
      </c>
      <c r="L384" s="7">
        <f>IF(H384=0, "Correto", "Divergente")</f>
        <v/>
      </c>
    </row>
    <row r="385">
      <c r="A385" s="8" t="n">
        <v>384</v>
      </c>
      <c r="B385" s="8" t="n">
        <v>20</v>
      </c>
      <c r="C385" s="9" t="inlineStr">
        <is>
          <t>Memória RAM DDR4 16GB 3200MHz (Modelo 6)</t>
        </is>
      </c>
      <c r="D385" s="9" t="inlineStr">
        <is>
          <t>Componentes</t>
        </is>
      </c>
      <c r="E385" s="10" t="inlineStr">
        <is>
          <t>2024-12-15</t>
        </is>
      </c>
      <c r="F385" s="11" t="n">
        <v>1202</v>
      </c>
      <c r="G385" s="11" t="n">
        <v>1028</v>
      </c>
      <c r="H385" s="11">
        <f>G385-F385</f>
        <v/>
      </c>
      <c r="I385" s="12">
        <f>H385/F385</f>
        <v/>
      </c>
      <c r="J385" s="9" t="inlineStr">
        <is>
          <t>Roberto Fernandes</t>
        </is>
      </c>
      <c r="K385" s="13" t="inlineStr">
        <is>
          <t>C03</t>
        </is>
      </c>
      <c r="L385" s="13">
        <f>IF(H385=0, "Correto", "Divergente")</f>
        <v/>
      </c>
    </row>
    <row r="386">
      <c r="A386" s="2" t="n">
        <v>385</v>
      </c>
      <c r="B386" s="2" t="n">
        <v>69</v>
      </c>
      <c r="C386" s="3" t="inlineStr">
        <is>
          <t>Mochila para Notebook 15.6" (Modelo 10)</t>
        </is>
      </c>
      <c r="D386" s="3" t="inlineStr">
        <is>
          <t>Acessórios</t>
        </is>
      </c>
      <c r="E386" s="4" t="inlineStr">
        <is>
          <t>2025-11-21</t>
        </is>
      </c>
      <c r="F386" s="5" t="n">
        <v>1052</v>
      </c>
      <c r="G386" s="5" t="n">
        <v>1052</v>
      </c>
      <c r="H386" s="5">
        <f>G386-F386</f>
        <v/>
      </c>
      <c r="I386" s="6">
        <f>H386/F386</f>
        <v/>
      </c>
      <c r="J386" s="3" t="inlineStr">
        <is>
          <t>Beatriz Castilho</t>
        </is>
      </c>
      <c r="K386" s="7" t="inlineStr">
        <is>
          <t>C03</t>
        </is>
      </c>
      <c r="L386" s="7">
        <f>IF(H386=0, "Correto", "Divergente")</f>
        <v/>
      </c>
    </row>
    <row r="387">
      <c r="A387" s="8" t="n">
        <v>386</v>
      </c>
      <c r="B387" s="8" t="n">
        <v>6</v>
      </c>
      <c r="C387" s="9" t="inlineStr">
        <is>
          <t>Cartão de Memória MicroSD 128GB (Modelo 7)</t>
        </is>
      </c>
      <c r="D387" s="9" t="inlineStr">
        <is>
          <t>Armazenamento</t>
        </is>
      </c>
      <c r="E387" s="10" t="inlineStr">
        <is>
          <t>2024-11-17</t>
        </is>
      </c>
      <c r="F387" s="11" t="n">
        <v>3009</v>
      </c>
      <c r="G387" s="11" t="n">
        <v>3097</v>
      </c>
      <c r="H387" s="11">
        <f>G387-F387</f>
        <v/>
      </c>
      <c r="I387" s="12">
        <f>H387/F387</f>
        <v/>
      </c>
      <c r="J387" s="9" t="inlineStr">
        <is>
          <t>Camila Azevedo</t>
        </is>
      </c>
      <c r="K387" s="13" t="inlineStr">
        <is>
          <t>C02</t>
        </is>
      </c>
      <c r="L387" s="13">
        <f>IF(H387=0, "Correto", "Divergente")</f>
        <v/>
      </c>
    </row>
    <row r="388">
      <c r="A388" s="2" t="n">
        <v>387</v>
      </c>
      <c r="B388" s="2" t="n">
        <v>137</v>
      </c>
      <c r="C388" s="3" t="inlineStr">
        <is>
          <t>Capa Protetora para Tablet (Modelo 3)</t>
        </is>
      </c>
      <c r="D388" s="3" t="inlineStr">
        <is>
          <t>Smartphones</t>
        </is>
      </c>
      <c r="E388" s="4" t="inlineStr">
        <is>
          <t>2024-05-10</t>
        </is>
      </c>
      <c r="F388" s="5" t="n">
        <v>3984</v>
      </c>
      <c r="G388" s="5" t="n">
        <v>3984</v>
      </c>
      <c r="H388" s="5">
        <f>G388-F388</f>
        <v/>
      </c>
      <c r="I388" s="6">
        <f>H388/F388</f>
        <v/>
      </c>
      <c r="J388" s="3" t="inlineStr">
        <is>
          <t>Marcelo Fontes</t>
        </is>
      </c>
      <c r="K388" s="7" t="inlineStr">
        <is>
          <t>C02</t>
        </is>
      </c>
      <c r="L388" s="7">
        <f>IF(H388=0, "Correto", "Divergente")</f>
        <v/>
      </c>
    </row>
    <row r="389">
      <c r="A389" s="8" t="n">
        <v>388</v>
      </c>
      <c r="B389" s="8" t="n">
        <v>131</v>
      </c>
      <c r="C389" s="9" t="inlineStr">
        <is>
          <t>Desktop Core i5 8GB (Modelo 12)</t>
        </is>
      </c>
      <c r="D389" s="9" t="inlineStr">
        <is>
          <t>Informática</t>
        </is>
      </c>
      <c r="E389" s="10" t="inlineStr">
        <is>
          <t>2025-06-03</t>
        </is>
      </c>
      <c r="F389" s="11" t="n">
        <v>4683</v>
      </c>
      <c r="G389" s="11" t="n">
        <v>4683</v>
      </c>
      <c r="H389" s="11">
        <f>G389-F389</f>
        <v/>
      </c>
      <c r="I389" s="12">
        <f>H389/F389</f>
        <v/>
      </c>
      <c r="J389" s="9" t="inlineStr">
        <is>
          <t>Gustavo Silveira</t>
        </is>
      </c>
      <c r="K389" s="13" t="inlineStr">
        <is>
          <t>A02</t>
        </is>
      </c>
      <c r="L389" s="13">
        <f>IF(H389=0, "Correto", "Divergente")</f>
        <v/>
      </c>
    </row>
    <row r="390">
      <c r="A390" s="2" t="n">
        <v>389</v>
      </c>
      <c r="B390" s="2" t="n">
        <v>126</v>
      </c>
      <c r="C390" s="3" t="inlineStr">
        <is>
          <t>Cartão de Memória MicroSD 128GB (Modelo 7)</t>
        </is>
      </c>
      <c r="D390" s="3" t="inlineStr">
        <is>
          <t>Armazenamento</t>
        </is>
      </c>
      <c r="E390" s="4" t="inlineStr">
        <is>
          <t>2026-07-27</t>
        </is>
      </c>
      <c r="F390" s="5" t="n">
        <v>4432</v>
      </c>
      <c r="G390" s="5" t="n">
        <v>4542</v>
      </c>
      <c r="H390" s="5">
        <f>G390-F390</f>
        <v/>
      </c>
      <c r="I390" s="6">
        <f>H390/F390</f>
        <v/>
      </c>
      <c r="J390" s="3" t="inlineStr">
        <is>
          <t>Beatriz Castilho</t>
        </is>
      </c>
      <c r="K390" s="7" t="inlineStr">
        <is>
          <t>B03</t>
        </is>
      </c>
      <c r="L390" s="7">
        <f>IF(H390=0, "Correto", "Divergente")</f>
        <v/>
      </c>
    </row>
    <row r="391">
      <c r="A391" s="8" t="n">
        <v>390</v>
      </c>
      <c r="B391" s="8" t="n">
        <v>126</v>
      </c>
      <c r="C391" s="9" t="inlineStr">
        <is>
          <t>Cartão de Memória MicroSD 128GB (Modelo 7)</t>
        </is>
      </c>
      <c r="D391" s="9" t="inlineStr">
        <is>
          <t>Armazenamento</t>
        </is>
      </c>
      <c r="E391" s="10" t="inlineStr">
        <is>
          <t>2025-11-25</t>
        </is>
      </c>
      <c r="F391" s="11" t="n">
        <v>3370</v>
      </c>
      <c r="G391" s="11" t="n">
        <v>3370</v>
      </c>
      <c r="H391" s="11">
        <f>G391-F391</f>
        <v/>
      </c>
      <c r="I391" s="12">
        <f>H391/F391</f>
        <v/>
      </c>
      <c r="J391" s="9" t="inlineStr">
        <is>
          <t>Beatriz Castilho</t>
        </is>
      </c>
      <c r="K391" s="13" t="inlineStr">
        <is>
          <t>B03</t>
        </is>
      </c>
      <c r="L391" s="13">
        <f>IF(H391=0, "Correto", "Divergente")</f>
        <v/>
      </c>
    </row>
    <row r="392">
      <c r="A392" s="2" t="n">
        <v>391</v>
      </c>
      <c r="B392" s="2" t="n">
        <v>196</v>
      </c>
      <c r="C392" s="3" t="inlineStr">
        <is>
          <t>HD Externo Portátil 2TB (Modelo 2)</t>
        </is>
      </c>
      <c r="D392" s="3" t="inlineStr">
        <is>
          <t>Armazenamento</t>
        </is>
      </c>
      <c r="E392" s="4" t="inlineStr">
        <is>
          <t>2025-08-20</t>
        </is>
      </c>
      <c r="F392" s="5" t="n">
        <v>4336</v>
      </c>
      <c r="G392" s="5" t="n">
        <v>4336</v>
      </c>
      <c r="H392" s="5">
        <f>G392-F392</f>
        <v/>
      </c>
      <c r="I392" s="6">
        <f>H392/F392</f>
        <v/>
      </c>
      <c r="J392" s="3" t="inlineStr">
        <is>
          <t>Gustavo Silveira</t>
        </is>
      </c>
      <c r="K392" s="7" t="inlineStr">
        <is>
          <t>C02</t>
        </is>
      </c>
      <c r="L392" s="7">
        <f>IF(H392=0, "Correto", "Divergente")</f>
        <v/>
      </c>
    </row>
    <row r="393">
      <c r="A393" s="8" t="n">
        <v>392</v>
      </c>
      <c r="B393" s="8" t="n">
        <v>16</v>
      </c>
      <c r="C393" s="9" t="inlineStr">
        <is>
          <t>HD Externo Portátil 2TB (Modelo 2)</t>
        </is>
      </c>
      <c r="D393" s="9" t="inlineStr">
        <is>
          <t>Armazenamento</t>
        </is>
      </c>
      <c r="E393" s="10" t="inlineStr">
        <is>
          <t>2026-10-08</t>
        </is>
      </c>
      <c r="F393" s="11" t="n">
        <v>4115</v>
      </c>
      <c r="G393" s="11" t="n">
        <v>4115</v>
      </c>
      <c r="H393" s="11">
        <f>G393-F393</f>
        <v/>
      </c>
      <c r="I393" s="12">
        <f>H393/F393</f>
        <v/>
      </c>
      <c r="J393" s="9" t="inlineStr">
        <is>
          <t>Mariana Alcantara</t>
        </is>
      </c>
      <c r="K393" s="13" t="inlineStr">
        <is>
          <t>C01</t>
        </is>
      </c>
      <c r="L393" s="13">
        <f>IF(H393=0, "Correto", "Divergente")</f>
        <v/>
      </c>
    </row>
    <row r="394">
      <c r="A394" s="2" t="n">
        <v>393</v>
      </c>
      <c r="B394" s="2" t="n">
        <v>48</v>
      </c>
      <c r="C394" s="3" t="inlineStr">
        <is>
          <t>Repetidor Wi-Fi 1200Mbps (Modelo 4)</t>
        </is>
      </c>
      <c r="D394" s="3" t="inlineStr">
        <is>
          <t>Redes</t>
        </is>
      </c>
      <c r="E394" s="4" t="inlineStr">
        <is>
          <t>2025-06-19</t>
        </is>
      </c>
      <c r="F394" s="5" t="n">
        <v>2491</v>
      </c>
      <c r="G394" s="5" t="n">
        <v>2483</v>
      </c>
      <c r="H394" s="5">
        <f>G394-F394</f>
        <v/>
      </c>
      <c r="I394" s="6">
        <f>H394/F394</f>
        <v/>
      </c>
      <c r="J394" s="3" t="inlineStr">
        <is>
          <t>Mariana Alcantara</t>
        </is>
      </c>
      <c r="K394" s="7" t="inlineStr">
        <is>
          <t>C02</t>
        </is>
      </c>
      <c r="L394" s="7">
        <f>IF(H394=0, "Correto", "Divergente")</f>
        <v/>
      </c>
    </row>
    <row r="395">
      <c r="A395" s="8" t="n">
        <v>394</v>
      </c>
      <c r="B395" s="8" t="n">
        <v>116</v>
      </c>
      <c r="C395" s="9" t="inlineStr">
        <is>
          <t>SSD NVMe 1TB M.2 (Modelo 12)</t>
        </is>
      </c>
      <c r="D395" s="9" t="inlineStr">
        <is>
          <t>Armazenamento</t>
        </is>
      </c>
      <c r="E395" s="10" t="inlineStr">
        <is>
          <t>2025-06-17</t>
        </is>
      </c>
      <c r="F395" s="11" t="n">
        <v>4267</v>
      </c>
      <c r="G395" s="11" t="n">
        <v>4156</v>
      </c>
      <c r="H395" s="11">
        <f>G395-F395</f>
        <v/>
      </c>
      <c r="I395" s="12">
        <f>H395/F395</f>
        <v/>
      </c>
      <c r="J395" s="9" t="inlineStr">
        <is>
          <t>Gustavo Silveira</t>
        </is>
      </c>
      <c r="K395" s="13" t="inlineStr">
        <is>
          <t>B02</t>
        </is>
      </c>
      <c r="L395" s="13">
        <f>IF(H395=0, "Correto", "Divergente")</f>
        <v/>
      </c>
    </row>
    <row r="396">
      <c r="A396" s="2" t="n">
        <v>395</v>
      </c>
      <c r="B396" s="2" t="n">
        <v>11</v>
      </c>
      <c r="C396" s="3" t="inlineStr">
        <is>
          <t>Desktop Core i5 8GB (Modelo 12)</t>
        </is>
      </c>
      <c r="D396" s="3" t="inlineStr">
        <is>
          <t>Informática</t>
        </is>
      </c>
      <c r="E396" s="4" t="inlineStr">
        <is>
          <t>2025-02-13</t>
        </is>
      </c>
      <c r="F396" s="5" t="n">
        <v>1138</v>
      </c>
      <c r="G396" s="5" t="n">
        <v>1138</v>
      </c>
      <c r="H396" s="5">
        <f>G396-F396</f>
        <v/>
      </c>
      <c r="I396" s="6">
        <f>H396/F396</f>
        <v/>
      </c>
      <c r="J396" s="3" t="inlineStr">
        <is>
          <t>Camila Azevedo</t>
        </is>
      </c>
      <c r="K396" s="7" t="inlineStr">
        <is>
          <t>A02</t>
        </is>
      </c>
      <c r="L396" s="7">
        <f>IF(H396=0, "Correto", "Divergente")</f>
        <v/>
      </c>
    </row>
    <row r="397">
      <c r="A397" s="8" t="n">
        <v>396</v>
      </c>
      <c r="B397" s="8" t="n">
        <v>114</v>
      </c>
      <c r="C397" s="9" t="inlineStr">
        <is>
          <t>Cartucho Colorido Premium (Modelo 10)</t>
        </is>
      </c>
      <c r="D397" s="9" t="inlineStr">
        <is>
          <t>Impressão</t>
        </is>
      </c>
      <c r="E397" s="10" t="inlineStr">
        <is>
          <t>2024-12-15</t>
        </is>
      </c>
      <c r="F397" s="11" t="n">
        <v>1129</v>
      </c>
      <c r="G397" s="11" t="n">
        <v>1129</v>
      </c>
      <c r="H397" s="11">
        <f>G397-F397</f>
        <v/>
      </c>
      <c r="I397" s="12">
        <f>H397/F397</f>
        <v/>
      </c>
      <c r="J397" s="9" t="inlineStr">
        <is>
          <t>Fernanda Vasconcelos</t>
        </is>
      </c>
      <c r="K397" s="13" t="inlineStr">
        <is>
          <t>B03</t>
        </is>
      </c>
      <c r="L397" s="13">
        <f>IF(H397=0, "Correto", "Divergente")</f>
        <v/>
      </c>
    </row>
    <row r="398">
      <c r="A398" s="2" t="n">
        <v>397</v>
      </c>
      <c r="B398" s="2" t="n">
        <v>117</v>
      </c>
      <c r="C398" s="3" t="inlineStr">
        <is>
          <t>Tablet 10.1" Wi-Fi 64GB (Modelo 13)</t>
        </is>
      </c>
      <c r="D398" s="3" t="inlineStr">
        <is>
          <t>Smartphones</t>
        </is>
      </c>
      <c r="E398" s="4" t="inlineStr">
        <is>
          <t>2025-11-28</t>
        </is>
      </c>
      <c r="F398" s="5" t="n">
        <v>257</v>
      </c>
      <c r="G398" s="5" t="n">
        <v>257</v>
      </c>
      <c r="H398" s="5">
        <f>G398-F398</f>
        <v/>
      </c>
      <c r="I398" s="6">
        <f>H398/F398</f>
        <v/>
      </c>
      <c r="J398" s="3" t="inlineStr">
        <is>
          <t>Carlos Eduardo Rocha</t>
        </is>
      </c>
      <c r="K398" s="7" t="inlineStr">
        <is>
          <t>C02</t>
        </is>
      </c>
      <c r="L398" s="7">
        <f>IF(H398=0, "Correto", "Divergente")</f>
        <v/>
      </c>
    </row>
    <row r="399">
      <c r="A399" s="8" t="n">
        <v>398</v>
      </c>
      <c r="B399" s="8" t="n">
        <v>126</v>
      </c>
      <c r="C399" s="9" t="inlineStr">
        <is>
          <t>Cartão de Memória MicroSD 128GB (Modelo 7)</t>
        </is>
      </c>
      <c r="D399" s="9" t="inlineStr">
        <is>
          <t>Armazenamento</t>
        </is>
      </c>
      <c r="E399" s="10" t="inlineStr">
        <is>
          <t>2026-08-14</t>
        </is>
      </c>
      <c r="F399" s="11" t="n">
        <v>4151</v>
      </c>
      <c r="G399" s="11" t="n">
        <v>4220</v>
      </c>
      <c r="H399" s="11">
        <f>G399-F399</f>
        <v/>
      </c>
      <c r="I399" s="12">
        <f>H399/F399</f>
        <v/>
      </c>
      <c r="J399" s="9" t="inlineStr">
        <is>
          <t>Ricardo Mendes</t>
        </is>
      </c>
      <c r="K399" s="13" t="inlineStr">
        <is>
          <t>B03</t>
        </is>
      </c>
      <c r="L399" s="13">
        <f>IF(H399=0, "Correto", "Divergente")</f>
        <v/>
      </c>
    </row>
    <row r="400">
      <c r="A400" s="2" t="n">
        <v>399</v>
      </c>
      <c r="B400" s="2" t="n">
        <v>122</v>
      </c>
      <c r="C400" s="3" t="inlineStr">
        <is>
          <t>Mouse Óptico USB (Modelo 3)</t>
        </is>
      </c>
      <c r="D400" s="3" t="inlineStr">
        <is>
          <t>Periféricos</t>
        </is>
      </c>
      <c r="E400" s="4" t="inlineStr">
        <is>
          <t>2024-06-27</t>
        </is>
      </c>
      <c r="F400" s="5" t="n">
        <v>241</v>
      </c>
      <c r="G400" s="5" t="n">
        <v>241</v>
      </c>
      <c r="H400" s="5">
        <f>G400-F400</f>
        <v/>
      </c>
      <c r="I400" s="6">
        <f>H400/F400</f>
        <v/>
      </c>
      <c r="J400" s="3" t="inlineStr">
        <is>
          <t>Gustavo Silveira</t>
        </is>
      </c>
      <c r="K400" s="7" t="inlineStr">
        <is>
          <t>Depósito Externo</t>
        </is>
      </c>
      <c r="L400" s="7">
        <f>IF(H400=0, "Correto", "Divergente")</f>
        <v/>
      </c>
    </row>
    <row r="401">
      <c r="A401" s="8" t="n">
        <v>400</v>
      </c>
      <c r="B401" s="8" t="n">
        <v>148</v>
      </c>
      <c r="C401" s="9" t="inlineStr">
        <is>
          <t>Access Point Wi-Fi Corporativo (Modelo 14)</t>
        </is>
      </c>
      <c r="D401" s="9" t="inlineStr">
        <is>
          <t>Redes</t>
        </is>
      </c>
      <c r="E401" s="10" t="inlineStr">
        <is>
          <t>2025-01-01</t>
        </is>
      </c>
      <c r="F401" s="11" t="n">
        <v>1752</v>
      </c>
      <c r="G401" s="11" t="n">
        <v>1752</v>
      </c>
      <c r="H401" s="11">
        <f>G401-F401</f>
        <v/>
      </c>
      <c r="I401" s="12">
        <f>H401/F401</f>
        <v/>
      </c>
      <c r="J401" s="9" t="inlineStr">
        <is>
          <t>Marcelo Fontes</t>
        </is>
      </c>
      <c r="K401" s="13" t="inlineStr">
        <is>
          <t>B01</t>
        </is>
      </c>
      <c r="L401" s="13">
        <f>IF(H401=0, "Correto", "Divergente")</f>
        <v/>
      </c>
    </row>
    <row r="402">
      <c r="A402" s="2" t="n">
        <v>401</v>
      </c>
      <c r="B402" s="2" t="n">
        <v>36</v>
      </c>
      <c r="C402" s="3" t="inlineStr">
        <is>
          <t>Cartão de Memória MicroSD 128GB (Modelo 7)</t>
        </is>
      </c>
      <c r="D402" s="3" t="inlineStr">
        <is>
          <t>Armazenamento</t>
        </is>
      </c>
      <c r="E402" s="4" t="inlineStr">
        <is>
          <t>2026-07-02</t>
        </is>
      </c>
      <c r="F402" s="5" t="n">
        <v>729</v>
      </c>
      <c r="G402" s="5" t="n">
        <v>691</v>
      </c>
      <c r="H402" s="5">
        <f>G402-F402</f>
        <v/>
      </c>
      <c r="I402" s="6">
        <f>H402/F402</f>
        <v/>
      </c>
      <c r="J402" s="3" t="inlineStr">
        <is>
          <t>Beatriz Castilho</t>
        </is>
      </c>
      <c r="K402" s="7" t="inlineStr">
        <is>
          <t>A02</t>
        </is>
      </c>
      <c r="L402" s="7">
        <f>IF(H402=0, "Correto", "Divergente")</f>
        <v/>
      </c>
    </row>
    <row r="403">
      <c r="A403" s="8" t="n">
        <v>402</v>
      </c>
      <c r="B403" s="8" t="n">
        <v>188</v>
      </c>
      <c r="C403" s="9" t="inlineStr">
        <is>
          <t>Switch Gigabit 16 Portas (Modelo 9)</t>
        </is>
      </c>
      <c r="D403" s="9" t="inlineStr">
        <is>
          <t>Redes</t>
        </is>
      </c>
      <c r="E403" s="10" t="inlineStr">
        <is>
          <t>2025-07-17</t>
        </is>
      </c>
      <c r="F403" s="11" t="n">
        <v>1734</v>
      </c>
      <c r="G403" s="11" t="n">
        <v>1734</v>
      </c>
      <c r="H403" s="11">
        <f>G403-F403</f>
        <v/>
      </c>
      <c r="I403" s="12">
        <f>H403/F403</f>
        <v/>
      </c>
      <c r="J403" s="9" t="inlineStr">
        <is>
          <t>Mariana Alcantara</t>
        </is>
      </c>
      <c r="K403" s="13" t="inlineStr">
        <is>
          <t>A02</t>
        </is>
      </c>
      <c r="L403" s="13">
        <f>IF(H403=0, "Correto", "Divergente")</f>
        <v/>
      </c>
    </row>
    <row r="404">
      <c r="A404" s="2" t="n">
        <v>403</v>
      </c>
      <c r="B404" s="2" t="n">
        <v>84</v>
      </c>
      <c r="C404" s="3" t="inlineStr">
        <is>
          <t>Cartucho Colorido Premium (Modelo 10)</t>
        </is>
      </c>
      <c r="D404" s="3" t="inlineStr">
        <is>
          <t>Impressão</t>
        </is>
      </c>
      <c r="E404" s="4" t="inlineStr">
        <is>
          <t>2025-03-02</t>
        </is>
      </c>
      <c r="F404" s="5" t="n">
        <v>4088</v>
      </c>
      <c r="G404" s="5" t="n">
        <v>4088</v>
      </c>
      <c r="H404" s="5">
        <f>G404-F404</f>
        <v/>
      </c>
      <c r="I404" s="6">
        <f>H404/F404</f>
        <v/>
      </c>
      <c r="J404" s="3" t="inlineStr">
        <is>
          <t>Patricia Prado</t>
        </is>
      </c>
      <c r="K404" s="7" t="inlineStr">
        <is>
          <t>B01</t>
        </is>
      </c>
      <c r="L404" s="7">
        <f>IF(H404=0, "Correto", "Divergente")</f>
        <v/>
      </c>
    </row>
    <row r="405">
      <c r="A405" s="8" t="n">
        <v>404</v>
      </c>
      <c r="B405" s="8" t="n">
        <v>104</v>
      </c>
      <c r="C405" s="9" t="inlineStr">
        <is>
          <t>Multifuncional Tanque de Tinta (Modelo 15)</t>
        </is>
      </c>
      <c r="D405" s="9" t="inlineStr">
        <is>
          <t>Impressão</t>
        </is>
      </c>
      <c r="E405" s="10" t="inlineStr">
        <is>
          <t>2026-04-08</t>
        </is>
      </c>
      <c r="F405" s="11" t="n">
        <v>3937</v>
      </c>
      <c r="G405" s="11" t="n">
        <v>4097</v>
      </c>
      <c r="H405" s="11">
        <f>G405-F405</f>
        <v/>
      </c>
      <c r="I405" s="12">
        <f>H405/F405</f>
        <v/>
      </c>
      <c r="J405" s="9" t="inlineStr">
        <is>
          <t>Ricardo Mendes</t>
        </is>
      </c>
      <c r="K405" s="13" t="inlineStr">
        <is>
          <t>C02</t>
        </is>
      </c>
      <c r="L405" s="13">
        <f>IF(H405=0, "Correto", "Divergente")</f>
        <v/>
      </c>
    </row>
    <row r="406">
      <c r="A406" s="2" t="n">
        <v>405</v>
      </c>
      <c r="B406" s="2" t="n">
        <v>20</v>
      </c>
      <c r="C406" s="3" t="inlineStr">
        <is>
          <t>Memória RAM DDR4 16GB 3200MHz (Modelo 6)</t>
        </is>
      </c>
      <c r="D406" s="3" t="inlineStr">
        <is>
          <t>Componentes</t>
        </is>
      </c>
      <c r="E406" s="4" t="inlineStr">
        <is>
          <t>2025-09-20</t>
        </is>
      </c>
      <c r="F406" s="5" t="n">
        <v>3830</v>
      </c>
      <c r="G406" s="5" t="n">
        <v>3830</v>
      </c>
      <c r="H406" s="5">
        <f>G406-F406</f>
        <v/>
      </c>
      <c r="I406" s="6">
        <f>H406/F406</f>
        <v/>
      </c>
      <c r="J406" s="3" t="inlineStr">
        <is>
          <t>Fernanda Vasconcelos</t>
        </is>
      </c>
      <c r="K406" s="7" t="inlineStr">
        <is>
          <t>A02</t>
        </is>
      </c>
      <c r="L406" s="7">
        <f>IF(H406=0, "Correto", "Divergente")</f>
        <v/>
      </c>
    </row>
    <row r="407">
      <c r="A407" s="8" t="n">
        <v>406</v>
      </c>
      <c r="B407" s="8" t="n">
        <v>43</v>
      </c>
      <c r="C407" s="9" t="inlineStr">
        <is>
          <t>Monitor LED 21.5" Full HD (Modelo 14)</t>
        </is>
      </c>
      <c r="D407" s="9" t="inlineStr">
        <is>
          <t>Monitores</t>
        </is>
      </c>
      <c r="E407" s="10" t="inlineStr">
        <is>
          <t>2025-07-07</t>
        </is>
      </c>
      <c r="F407" s="11" t="n">
        <v>3034</v>
      </c>
      <c r="G407" s="11" t="n">
        <v>3034</v>
      </c>
      <c r="H407" s="11">
        <f>G407-F407</f>
        <v/>
      </c>
      <c r="I407" s="12">
        <f>H407/F407</f>
        <v/>
      </c>
      <c r="J407" s="9" t="inlineStr">
        <is>
          <t>Marcelo Fontes</t>
        </is>
      </c>
      <c r="K407" s="13" t="inlineStr">
        <is>
          <t>C02</t>
        </is>
      </c>
      <c r="L407" s="13">
        <f>IF(H407=0, "Correto", "Divergente")</f>
        <v/>
      </c>
    </row>
    <row r="408">
      <c r="A408" s="2" t="n">
        <v>407</v>
      </c>
      <c r="B408" s="2" t="n">
        <v>123</v>
      </c>
      <c r="C408" s="3" t="inlineStr">
        <is>
          <t>Monitor 27" Curvo 144Hz (Modelo 4)</t>
        </is>
      </c>
      <c r="D408" s="3" t="inlineStr">
        <is>
          <t>Monitores</t>
        </is>
      </c>
      <c r="E408" s="4" t="inlineStr">
        <is>
          <t>2024-08-23</t>
        </is>
      </c>
      <c r="F408" s="5" t="n">
        <v>1855</v>
      </c>
      <c r="G408" s="5" t="n">
        <v>1855</v>
      </c>
      <c r="H408" s="5">
        <f>G408-F408</f>
        <v/>
      </c>
      <c r="I408" s="6">
        <f>H408/F408</f>
        <v/>
      </c>
      <c r="J408" s="3" t="inlineStr">
        <is>
          <t>Patricia Prado</t>
        </is>
      </c>
      <c r="K408" s="7" t="inlineStr">
        <is>
          <t>B02</t>
        </is>
      </c>
      <c r="L408" s="7">
        <f>IF(H408=0, "Correto", "Divergente")</f>
        <v/>
      </c>
    </row>
    <row r="409">
      <c r="A409" s="8" t="n">
        <v>408</v>
      </c>
      <c r="B409" s="8" t="n">
        <v>65</v>
      </c>
      <c r="C409" s="9" t="inlineStr">
        <is>
          <t>Caixa de Som Bluetooth Portátil (Modelo 6)</t>
        </is>
      </c>
      <c r="D409" s="9" t="inlineStr">
        <is>
          <t>Áudio</t>
        </is>
      </c>
      <c r="E409" s="10" t="inlineStr">
        <is>
          <t>2024-01-28</t>
        </is>
      </c>
      <c r="F409" s="11" t="n">
        <v>2423</v>
      </c>
      <c r="G409" s="11" t="n">
        <v>2423</v>
      </c>
      <c r="H409" s="11">
        <f>G409-F409</f>
        <v/>
      </c>
      <c r="I409" s="12">
        <f>H409/F409</f>
        <v/>
      </c>
      <c r="J409" s="9" t="inlineStr">
        <is>
          <t>Carlos Eduardo Rocha</t>
        </is>
      </c>
      <c r="K409" s="13" t="inlineStr">
        <is>
          <t>Depósito Externo</t>
        </is>
      </c>
      <c r="L409" s="13">
        <f>IF(H409=0, "Correto", "Divergente")</f>
        <v/>
      </c>
    </row>
    <row r="410">
      <c r="A410" s="2" t="n">
        <v>409</v>
      </c>
      <c r="B410" s="2" t="n">
        <v>200</v>
      </c>
      <c r="C410" s="3" t="inlineStr">
        <is>
          <t>Memória RAM DDR4 16GB 3200MHz (Modelo 6)</t>
        </is>
      </c>
      <c r="D410" s="3" t="inlineStr">
        <is>
          <t>Componentes</t>
        </is>
      </c>
      <c r="E410" s="4" t="inlineStr">
        <is>
          <t>2026-05-01</t>
        </is>
      </c>
      <c r="F410" s="5" t="n">
        <v>2284</v>
      </c>
      <c r="G410" s="5" t="n">
        <v>2284</v>
      </c>
      <c r="H410" s="5">
        <f>G410-F410</f>
        <v/>
      </c>
      <c r="I410" s="6">
        <f>H410/F410</f>
        <v/>
      </c>
      <c r="J410" s="3" t="inlineStr">
        <is>
          <t>Roberto Fernandes</t>
        </is>
      </c>
      <c r="K410" s="7" t="inlineStr">
        <is>
          <t>B02</t>
        </is>
      </c>
      <c r="L410" s="7">
        <f>IF(H410=0, "Correto", "Divergente")</f>
        <v/>
      </c>
    </row>
    <row r="411">
      <c r="A411" s="8" t="n">
        <v>410</v>
      </c>
      <c r="B411" s="8" t="n">
        <v>53</v>
      </c>
      <c r="C411" s="9" t="inlineStr">
        <is>
          <t>Monitor 4K 32" Profissional (Modelo 9)</t>
        </is>
      </c>
      <c r="D411" s="9" t="inlineStr">
        <is>
          <t>Monitores</t>
        </is>
      </c>
      <c r="E411" s="10" t="inlineStr">
        <is>
          <t>2024-09-07</t>
        </is>
      </c>
      <c r="F411" s="11" t="n">
        <v>2457</v>
      </c>
      <c r="G411" s="11" t="n">
        <v>2385</v>
      </c>
      <c r="H411" s="11">
        <f>G411-F411</f>
        <v/>
      </c>
      <c r="I411" s="12">
        <f>H411/F411</f>
        <v/>
      </c>
      <c r="J411" s="9" t="inlineStr">
        <is>
          <t>Beatriz Castilho</t>
        </is>
      </c>
      <c r="K411" s="13" t="inlineStr">
        <is>
          <t>Depósito Externo</t>
        </is>
      </c>
      <c r="L411" s="13">
        <f>IF(H411=0, "Correto", "Divergente")</f>
        <v/>
      </c>
    </row>
    <row r="412">
      <c r="A412" s="2" t="n">
        <v>411</v>
      </c>
      <c r="B412" s="2" t="n">
        <v>24</v>
      </c>
      <c r="C412" s="3" t="inlineStr">
        <is>
          <t>Cartucho Colorido Premium (Modelo 10)</t>
        </is>
      </c>
      <c r="D412" s="3" t="inlineStr">
        <is>
          <t>Impressão</t>
        </is>
      </c>
      <c r="E412" s="4" t="inlineStr">
        <is>
          <t>2026-11-14</t>
        </is>
      </c>
      <c r="F412" s="5" t="n">
        <v>1694</v>
      </c>
      <c r="G412" s="5" t="n">
        <v>1491</v>
      </c>
      <c r="H412" s="5">
        <f>G412-F412</f>
        <v/>
      </c>
      <c r="I412" s="6">
        <f>H412/F412</f>
        <v/>
      </c>
      <c r="J412" s="3" t="inlineStr">
        <is>
          <t>Ricardo Mendes</t>
        </is>
      </c>
      <c r="K412" s="7" t="inlineStr">
        <is>
          <t>Depósito Externo</t>
        </is>
      </c>
      <c r="L412" s="7">
        <f>IF(H412=0, "Correto", "Divergente")</f>
        <v/>
      </c>
    </row>
    <row r="413">
      <c r="A413" s="8" t="n">
        <v>412</v>
      </c>
      <c r="B413" s="8" t="n">
        <v>86</v>
      </c>
      <c r="C413" s="9" t="inlineStr">
        <is>
          <t>SSD NVMe 1TB M.2 (Modelo 12)</t>
        </is>
      </c>
      <c r="D413" s="9" t="inlineStr">
        <is>
          <t>Armazenamento</t>
        </is>
      </c>
      <c r="E413" s="10" t="inlineStr">
        <is>
          <t>2026-08-29</t>
        </is>
      </c>
      <c r="F413" s="11" t="n">
        <v>2314</v>
      </c>
      <c r="G413" s="11" t="n">
        <v>2273</v>
      </c>
      <c r="H413" s="11">
        <f>G413-F413</f>
        <v/>
      </c>
      <c r="I413" s="12">
        <f>H413/F413</f>
        <v/>
      </c>
      <c r="J413" s="9" t="inlineStr">
        <is>
          <t>Mariana Alcantara</t>
        </is>
      </c>
      <c r="K413" s="13" t="inlineStr">
        <is>
          <t>B03</t>
        </is>
      </c>
      <c r="L413" s="13">
        <f>IF(H413=0, "Correto", "Divergente")</f>
        <v/>
      </c>
    </row>
    <row r="414">
      <c r="A414" s="2" t="n">
        <v>413</v>
      </c>
      <c r="B414" s="2" t="n">
        <v>138</v>
      </c>
      <c r="C414" s="3" t="inlineStr">
        <is>
          <t>Repetidor Wi-Fi 1200Mbps (Modelo 4)</t>
        </is>
      </c>
      <c r="D414" s="3" t="inlineStr">
        <is>
          <t>Redes</t>
        </is>
      </c>
      <c r="E414" s="4" t="inlineStr">
        <is>
          <t>2026-02-21</t>
        </is>
      </c>
      <c r="F414" s="5" t="n">
        <v>3234</v>
      </c>
      <c r="G414" s="5" t="n">
        <v>3234</v>
      </c>
      <c r="H414" s="5">
        <f>G414-F414</f>
        <v/>
      </c>
      <c r="I414" s="6">
        <f>H414/F414</f>
        <v/>
      </c>
      <c r="J414" s="3" t="inlineStr">
        <is>
          <t>Patricia Prado</t>
        </is>
      </c>
      <c r="K414" s="7" t="inlineStr">
        <is>
          <t>A02</t>
        </is>
      </c>
      <c r="L414" s="7">
        <f>IF(H414=0, "Correto", "Divergente")</f>
        <v/>
      </c>
    </row>
    <row r="415">
      <c r="A415" s="8" t="n">
        <v>414</v>
      </c>
      <c r="B415" s="8" t="n">
        <v>35</v>
      </c>
      <c r="C415" s="9" t="inlineStr">
        <is>
          <t>Caixa de Som Bluetooth Portátil (Modelo 6)</t>
        </is>
      </c>
      <c r="D415" s="9" t="inlineStr">
        <is>
          <t>Áudio</t>
        </is>
      </c>
      <c r="E415" s="10" t="inlineStr">
        <is>
          <t>2026-01-14</t>
        </is>
      </c>
      <c r="F415" s="11" t="n">
        <v>1227</v>
      </c>
      <c r="G415" s="11" t="n">
        <v>1227</v>
      </c>
      <c r="H415" s="11">
        <f>G415-F415</f>
        <v/>
      </c>
      <c r="I415" s="12">
        <f>H415/F415</f>
        <v/>
      </c>
      <c r="J415" s="9" t="inlineStr">
        <is>
          <t>Ricardo Mendes</t>
        </is>
      </c>
      <c r="K415" s="13" t="inlineStr">
        <is>
          <t>A03</t>
        </is>
      </c>
      <c r="L415" s="13">
        <f>IF(H415=0, "Correto", "Divergente")</f>
        <v/>
      </c>
    </row>
    <row r="416">
      <c r="A416" s="2" t="n">
        <v>415</v>
      </c>
      <c r="B416" s="2" t="n">
        <v>102</v>
      </c>
      <c r="C416" s="3" t="inlineStr">
        <is>
          <t>Mouse Sem Fio Bluetooth (Modelo 13)</t>
        </is>
      </c>
      <c r="D416" s="3" t="inlineStr">
        <is>
          <t>Periféricos</t>
        </is>
      </c>
      <c r="E416" s="4" t="inlineStr">
        <is>
          <t>2026-01-25</t>
        </is>
      </c>
      <c r="F416" s="5" t="n">
        <v>569</v>
      </c>
      <c r="G416" s="5" t="n">
        <v>569</v>
      </c>
      <c r="H416" s="5">
        <f>G416-F416</f>
        <v/>
      </c>
      <c r="I416" s="6">
        <f>H416/F416</f>
        <v/>
      </c>
      <c r="J416" s="3" t="inlineStr">
        <is>
          <t>Gustavo Silveira</t>
        </is>
      </c>
      <c r="K416" s="7" t="inlineStr">
        <is>
          <t>A03</t>
        </is>
      </c>
      <c r="L416" s="7">
        <f>IF(H416=0, "Correto", "Divergente")</f>
        <v/>
      </c>
    </row>
    <row r="417">
      <c r="A417" s="8" t="n">
        <v>416</v>
      </c>
      <c r="B417" s="8" t="n">
        <v>101</v>
      </c>
      <c r="C417" s="9" t="inlineStr">
        <is>
          <t>Mini PC Ryzen 5 (Modelo 12)</t>
        </is>
      </c>
      <c r="D417" s="9" t="inlineStr">
        <is>
          <t>Informática</t>
        </is>
      </c>
      <c r="E417" s="10" t="inlineStr">
        <is>
          <t>2025-11-25</t>
        </is>
      </c>
      <c r="F417" s="11" t="n">
        <v>4434</v>
      </c>
      <c r="G417" s="11" t="n">
        <v>4434</v>
      </c>
      <c r="H417" s="11">
        <f>G417-F417</f>
        <v/>
      </c>
      <c r="I417" s="12">
        <f>H417/F417</f>
        <v/>
      </c>
      <c r="J417" s="9" t="inlineStr">
        <is>
          <t>Camila Azevedo</t>
        </is>
      </c>
      <c r="K417" s="13" t="inlineStr">
        <is>
          <t>A01</t>
        </is>
      </c>
      <c r="L417" s="13">
        <f>IF(H417=0, "Correto", "Divergente")</f>
        <v/>
      </c>
    </row>
    <row r="418">
      <c r="A418" s="2" t="n">
        <v>417</v>
      </c>
      <c r="B418" s="2" t="n">
        <v>46</v>
      </c>
      <c r="C418" s="3" t="inlineStr">
        <is>
          <t>HD Externo Portátil 2TB (Modelo 2)</t>
        </is>
      </c>
      <c r="D418" s="3" t="inlineStr">
        <is>
          <t>Armazenamento</t>
        </is>
      </c>
      <c r="E418" s="4" t="inlineStr">
        <is>
          <t>2026-08-25</t>
        </is>
      </c>
      <c r="F418" s="5" t="n">
        <v>611</v>
      </c>
      <c r="G418" s="5" t="n">
        <v>611</v>
      </c>
      <c r="H418" s="5">
        <f>G418-F418</f>
        <v/>
      </c>
      <c r="I418" s="6">
        <f>H418/F418</f>
        <v/>
      </c>
      <c r="J418" s="3" t="inlineStr">
        <is>
          <t>Beatriz Castilho</t>
        </is>
      </c>
      <c r="K418" s="7" t="inlineStr">
        <is>
          <t>A03</t>
        </is>
      </c>
      <c r="L418" s="7">
        <f>IF(H418=0, "Correto", "Divergente")</f>
        <v/>
      </c>
    </row>
    <row r="419">
      <c r="A419" s="8" t="n">
        <v>418</v>
      </c>
      <c r="B419" s="8" t="n">
        <v>139</v>
      </c>
      <c r="C419" s="9" t="inlineStr">
        <is>
          <t>Mochila para Notebook 15.6" (Modelo 5)</t>
        </is>
      </c>
      <c r="D419" s="9" t="inlineStr">
        <is>
          <t>Acessórios</t>
        </is>
      </c>
      <c r="E419" s="10" t="inlineStr">
        <is>
          <t>2026-03-25</t>
        </is>
      </c>
      <c r="F419" s="11" t="n">
        <v>2900</v>
      </c>
      <c r="G419" s="11" t="n">
        <v>2900</v>
      </c>
      <c r="H419" s="11">
        <f>G419-F419</f>
        <v/>
      </c>
      <c r="I419" s="12">
        <f>H419/F419</f>
        <v/>
      </c>
      <c r="J419" s="9" t="inlineStr">
        <is>
          <t>Ricardo Mendes</t>
        </is>
      </c>
      <c r="K419" s="13" t="inlineStr">
        <is>
          <t>C01</t>
        </is>
      </c>
      <c r="L419" s="13">
        <f>IF(H419=0, "Correto", "Divergente")</f>
        <v/>
      </c>
    </row>
    <row r="420">
      <c r="A420" s="2" t="n">
        <v>419</v>
      </c>
      <c r="B420" s="2" t="n">
        <v>6</v>
      </c>
      <c r="C420" s="3" t="inlineStr">
        <is>
          <t>Cartão de Memória MicroSD 128GB (Modelo 7)</t>
        </is>
      </c>
      <c r="D420" s="3" t="inlineStr">
        <is>
          <t>Armazenamento</t>
        </is>
      </c>
      <c r="E420" s="4" t="inlineStr">
        <is>
          <t>2025-10-24</t>
        </is>
      </c>
      <c r="F420" s="5" t="n">
        <v>2833</v>
      </c>
      <c r="G420" s="5" t="n">
        <v>2833</v>
      </c>
      <c r="H420" s="5">
        <f>G420-F420</f>
        <v/>
      </c>
      <c r="I420" s="6">
        <f>H420/F420</f>
        <v/>
      </c>
      <c r="J420" s="3" t="inlineStr">
        <is>
          <t>Marcelo Fontes</t>
        </is>
      </c>
      <c r="K420" s="7" t="inlineStr">
        <is>
          <t>B01</t>
        </is>
      </c>
      <c r="L420" s="7">
        <f>IF(H420=0, "Correto", "Divergente")</f>
        <v/>
      </c>
    </row>
    <row r="421">
      <c r="A421" s="8" t="n">
        <v>420</v>
      </c>
      <c r="B421" s="8" t="n">
        <v>14</v>
      </c>
      <c r="C421" s="9" t="inlineStr">
        <is>
          <t>Multifuncional Tanque de Tinta (Modelo 15)</t>
        </is>
      </c>
      <c r="D421" s="9" t="inlineStr">
        <is>
          <t>Impressão</t>
        </is>
      </c>
      <c r="E421" s="10" t="inlineStr">
        <is>
          <t>2024-02-06</t>
        </is>
      </c>
      <c r="F421" s="11" t="n">
        <v>297</v>
      </c>
      <c r="G421" s="11" t="n">
        <v>297</v>
      </c>
      <c r="H421" s="11">
        <f>G421-F421</f>
        <v/>
      </c>
      <c r="I421" s="12">
        <f>H421/F421</f>
        <v/>
      </c>
      <c r="J421" s="9" t="inlineStr">
        <is>
          <t>Ricardo Mendes</t>
        </is>
      </c>
      <c r="K421" s="13" t="inlineStr">
        <is>
          <t>C01</t>
        </is>
      </c>
      <c r="L421" s="13">
        <f>IF(H421=0, "Correto", "Divergente")</f>
        <v/>
      </c>
    </row>
    <row r="422">
      <c r="A422" s="2" t="n">
        <v>421</v>
      </c>
      <c r="B422" s="2" t="n">
        <v>84</v>
      </c>
      <c r="C422" s="3" t="inlineStr">
        <is>
          <t>Cartucho Colorido Premium (Modelo 10)</t>
        </is>
      </c>
      <c r="D422" s="3" t="inlineStr">
        <is>
          <t>Impressão</t>
        </is>
      </c>
      <c r="E422" s="4" t="inlineStr">
        <is>
          <t>2026-01-17</t>
        </is>
      </c>
      <c r="F422" s="5" t="n">
        <v>2689</v>
      </c>
      <c r="G422" s="5" t="n">
        <v>2689</v>
      </c>
      <c r="H422" s="5">
        <f>G422-F422</f>
        <v/>
      </c>
      <c r="I422" s="6">
        <f>H422/F422</f>
        <v/>
      </c>
      <c r="J422" s="3" t="inlineStr">
        <is>
          <t>Roberto Fernandes</t>
        </is>
      </c>
      <c r="K422" s="7" t="inlineStr">
        <is>
          <t>A03</t>
        </is>
      </c>
      <c r="L422" s="7">
        <f>IF(H422=0, "Correto", "Divergente")</f>
        <v/>
      </c>
    </row>
    <row r="423">
      <c r="A423" s="8" t="n">
        <v>422</v>
      </c>
      <c r="B423" s="8" t="n">
        <v>53</v>
      </c>
      <c r="C423" s="9" t="inlineStr">
        <is>
          <t>Monitor 4K 32" Profissional (Modelo 9)</t>
        </is>
      </c>
      <c r="D423" s="9" t="inlineStr">
        <is>
          <t>Monitores</t>
        </is>
      </c>
      <c r="E423" s="10" t="inlineStr">
        <is>
          <t>2025-07-01</t>
        </is>
      </c>
      <c r="F423" s="11" t="n">
        <v>4273</v>
      </c>
      <c r="G423" s="11" t="n">
        <v>4273</v>
      </c>
      <c r="H423" s="11">
        <f>G423-F423</f>
        <v/>
      </c>
      <c r="I423" s="12">
        <f>H423/F423</f>
        <v/>
      </c>
      <c r="J423" s="9" t="inlineStr">
        <is>
          <t>Fernanda Vasconcelos</t>
        </is>
      </c>
      <c r="K423" s="13" t="inlineStr">
        <is>
          <t>A01</t>
        </is>
      </c>
      <c r="L423" s="13">
        <f>IF(H423=0, "Correto", "Divergente")</f>
        <v/>
      </c>
    </row>
    <row r="424">
      <c r="A424" s="2" t="n">
        <v>423</v>
      </c>
      <c r="B424" s="2" t="n">
        <v>194</v>
      </c>
      <c r="C424" s="3" t="inlineStr">
        <is>
          <t>Multifuncional Tanque de Tinta (Modelo 15)</t>
        </is>
      </c>
      <c r="D424" s="3" t="inlineStr">
        <is>
          <t>Impressão</t>
        </is>
      </c>
      <c r="E424" s="4" t="inlineStr">
        <is>
          <t>2024-12-14</t>
        </is>
      </c>
      <c r="F424" s="5" t="n">
        <v>1223</v>
      </c>
      <c r="G424" s="5" t="n">
        <v>1223</v>
      </c>
      <c r="H424" s="5">
        <f>G424-F424</f>
        <v/>
      </c>
      <c r="I424" s="6">
        <f>H424/F424</f>
        <v/>
      </c>
      <c r="J424" s="3" t="inlineStr">
        <is>
          <t>Beatriz Castilho</t>
        </is>
      </c>
      <c r="K424" s="7" t="inlineStr">
        <is>
          <t>B02</t>
        </is>
      </c>
      <c r="L424" s="7">
        <f>IF(H424=0, "Correto", "Divergente")</f>
        <v/>
      </c>
    </row>
    <row r="425">
      <c r="A425" s="8" t="n">
        <v>424</v>
      </c>
      <c r="B425" s="8" t="n">
        <v>157</v>
      </c>
      <c r="C425" s="9" t="inlineStr">
        <is>
          <t>Smartphone Empresarial 128GB (Modelo 8)</t>
        </is>
      </c>
      <c r="D425" s="9" t="inlineStr">
        <is>
          <t>Smartphones</t>
        </is>
      </c>
      <c r="E425" s="10" t="inlineStr">
        <is>
          <t>2024-03-09</t>
        </is>
      </c>
      <c r="F425" s="11" t="n">
        <v>4256</v>
      </c>
      <c r="G425" s="11" t="n">
        <v>4256</v>
      </c>
      <c r="H425" s="11">
        <f>G425-F425</f>
        <v/>
      </c>
      <c r="I425" s="12">
        <f>H425/F425</f>
        <v/>
      </c>
      <c r="J425" s="9" t="inlineStr">
        <is>
          <t>Roberto Fernandes</t>
        </is>
      </c>
      <c r="K425" s="13" t="inlineStr">
        <is>
          <t>B01</t>
        </is>
      </c>
      <c r="L425" s="13">
        <f>IF(H425=0, "Correto", "Divergente")</f>
        <v/>
      </c>
    </row>
    <row r="426">
      <c r="A426" s="2" t="n">
        <v>425</v>
      </c>
      <c r="B426" s="2" t="n">
        <v>61</v>
      </c>
      <c r="C426" s="3" t="inlineStr">
        <is>
          <t>Mini PC Ryzen 5 (Modelo 2)</t>
        </is>
      </c>
      <c r="D426" s="3" t="inlineStr">
        <is>
          <t>Informática</t>
        </is>
      </c>
      <c r="E426" s="4" t="inlineStr">
        <is>
          <t>2026-10-26</t>
        </is>
      </c>
      <c r="F426" s="5" t="n">
        <v>2192</v>
      </c>
      <c r="G426" s="5" t="n">
        <v>2192</v>
      </c>
      <c r="H426" s="5">
        <f>G426-F426</f>
        <v/>
      </c>
      <c r="I426" s="6">
        <f>H426/F426</f>
        <v/>
      </c>
      <c r="J426" s="3" t="inlineStr">
        <is>
          <t>Beatriz Castilho</t>
        </is>
      </c>
      <c r="K426" s="7" t="inlineStr">
        <is>
          <t>Depósito Externo</t>
        </is>
      </c>
      <c r="L426" s="7">
        <f>IF(H426=0, "Correto", "Divergente")</f>
        <v/>
      </c>
    </row>
    <row r="427">
      <c r="A427" s="8" t="n">
        <v>426</v>
      </c>
      <c r="B427" s="8" t="n">
        <v>184</v>
      </c>
      <c r="C427" s="9" t="inlineStr">
        <is>
          <t>Toner HP Preto Original (Modelo 5)</t>
        </is>
      </c>
      <c r="D427" s="9" t="inlineStr">
        <is>
          <t>Impressão</t>
        </is>
      </c>
      <c r="E427" s="10" t="inlineStr">
        <is>
          <t>2024-01-07</t>
        </is>
      </c>
      <c r="F427" s="11" t="n">
        <v>3480</v>
      </c>
      <c r="G427" s="11" t="n">
        <v>3480</v>
      </c>
      <c r="H427" s="11">
        <f>G427-F427</f>
        <v/>
      </c>
      <c r="I427" s="12">
        <f>H427/F427</f>
        <v/>
      </c>
      <c r="J427" s="9" t="inlineStr">
        <is>
          <t>Camila Azevedo</t>
        </is>
      </c>
      <c r="K427" s="13" t="inlineStr">
        <is>
          <t>A03</t>
        </is>
      </c>
      <c r="L427" s="13">
        <f>IF(H427=0, "Correto", "Divergente")</f>
        <v/>
      </c>
    </row>
    <row r="428">
      <c r="A428" s="2" t="n">
        <v>427</v>
      </c>
      <c r="B428" s="2" t="n">
        <v>37</v>
      </c>
      <c r="C428" s="3" t="inlineStr">
        <is>
          <t>Smartphone Empresarial 128GB (Modelo 8)</t>
        </is>
      </c>
      <c r="D428" s="3" t="inlineStr">
        <is>
          <t>Smartphones</t>
        </is>
      </c>
      <c r="E428" s="4" t="inlineStr">
        <is>
          <t>2026-06-22</t>
        </is>
      </c>
      <c r="F428" s="5" t="n">
        <v>3029</v>
      </c>
      <c r="G428" s="5" t="n">
        <v>3029</v>
      </c>
      <c r="H428" s="5">
        <f>G428-F428</f>
        <v/>
      </c>
      <c r="I428" s="6">
        <f>H428/F428</f>
        <v/>
      </c>
      <c r="J428" s="3" t="inlineStr">
        <is>
          <t>Beatriz Castilho</t>
        </is>
      </c>
      <c r="K428" s="7" t="inlineStr">
        <is>
          <t>B02</t>
        </is>
      </c>
      <c r="L428" s="7">
        <f>IF(H428=0, "Correto", "Divergente")</f>
        <v/>
      </c>
    </row>
    <row r="429">
      <c r="A429" s="8" t="n">
        <v>428</v>
      </c>
      <c r="B429" s="8" t="n">
        <v>144</v>
      </c>
      <c r="C429" s="9" t="inlineStr">
        <is>
          <t>Cartucho Colorido Premium (Modelo 10)</t>
        </is>
      </c>
      <c r="D429" s="9" t="inlineStr">
        <is>
          <t>Impressão</t>
        </is>
      </c>
      <c r="E429" s="10" t="inlineStr">
        <is>
          <t>2025-05-03</t>
        </is>
      </c>
      <c r="F429" s="11" t="n">
        <v>2159</v>
      </c>
      <c r="G429" s="11" t="n">
        <v>2159</v>
      </c>
      <c r="H429" s="11">
        <f>G429-F429</f>
        <v/>
      </c>
      <c r="I429" s="12">
        <f>H429/F429</f>
        <v/>
      </c>
      <c r="J429" s="9" t="inlineStr">
        <is>
          <t>Ricardo Mendes</t>
        </is>
      </c>
      <c r="K429" s="13" t="inlineStr">
        <is>
          <t>B02</t>
        </is>
      </c>
      <c r="L429" s="13">
        <f>IF(H429=0, "Correto", "Divergente")</f>
        <v/>
      </c>
    </row>
    <row r="430">
      <c r="A430" s="2" t="n">
        <v>429</v>
      </c>
      <c r="B430" s="2" t="n">
        <v>170</v>
      </c>
      <c r="C430" s="3" t="inlineStr">
        <is>
          <t>Memória RAM DDR4 16GB 3200MHz (Modelo 6)</t>
        </is>
      </c>
      <c r="D430" s="3" t="inlineStr">
        <is>
          <t>Componentes</t>
        </is>
      </c>
      <c r="E430" s="4" t="inlineStr">
        <is>
          <t>2025-12-17</t>
        </is>
      </c>
      <c r="F430" s="5" t="n">
        <v>654</v>
      </c>
      <c r="G430" s="5" t="n">
        <v>654</v>
      </c>
      <c r="H430" s="5">
        <f>G430-F430</f>
        <v/>
      </c>
      <c r="I430" s="6">
        <f>H430/F430</f>
        <v/>
      </c>
      <c r="J430" s="3" t="inlineStr">
        <is>
          <t>Camila Azevedo</t>
        </is>
      </c>
      <c r="K430" s="7" t="inlineStr">
        <is>
          <t>B03</t>
        </is>
      </c>
      <c r="L430" s="7">
        <f>IF(H430=0, "Correto", "Divergente")</f>
        <v/>
      </c>
    </row>
    <row r="431">
      <c r="A431" s="8" t="n">
        <v>430</v>
      </c>
      <c r="B431" s="8" t="n">
        <v>187</v>
      </c>
      <c r="C431" s="9" t="inlineStr">
        <is>
          <t>Smartphone Empresarial 128GB (Modelo 8)</t>
        </is>
      </c>
      <c r="D431" s="9" t="inlineStr">
        <is>
          <t>Smartphones</t>
        </is>
      </c>
      <c r="E431" s="10" t="inlineStr">
        <is>
          <t>2026-01-08</t>
        </is>
      </c>
      <c r="F431" s="11" t="n">
        <v>1559</v>
      </c>
      <c r="G431" s="11" t="n">
        <v>1559</v>
      </c>
      <c r="H431" s="11">
        <f>G431-F431</f>
        <v/>
      </c>
      <c r="I431" s="12">
        <f>H431/F431</f>
        <v/>
      </c>
      <c r="J431" s="9" t="inlineStr">
        <is>
          <t>Roberto Fernandes</t>
        </is>
      </c>
      <c r="K431" s="13" t="inlineStr">
        <is>
          <t>Depósito Externo</t>
        </is>
      </c>
      <c r="L431" s="13">
        <f>IF(H431=0, "Correto", "Divergente")</f>
        <v/>
      </c>
    </row>
    <row r="432">
      <c r="A432" s="2" t="n">
        <v>431</v>
      </c>
      <c r="B432" s="2" t="n">
        <v>139</v>
      </c>
      <c r="C432" s="3" t="inlineStr">
        <is>
          <t>Mochila para Notebook 15.6" (Modelo 5)</t>
        </is>
      </c>
      <c r="D432" s="3" t="inlineStr">
        <is>
          <t>Acessórios</t>
        </is>
      </c>
      <c r="E432" s="4" t="inlineStr">
        <is>
          <t>2024-06-26</t>
        </is>
      </c>
      <c r="F432" s="5" t="n">
        <v>3801</v>
      </c>
      <c r="G432" s="5" t="n">
        <v>3801</v>
      </c>
      <c r="H432" s="5">
        <f>G432-F432</f>
        <v/>
      </c>
      <c r="I432" s="6">
        <f>H432/F432</f>
        <v/>
      </c>
      <c r="J432" s="3" t="inlineStr">
        <is>
          <t>Fernanda Vasconcelos</t>
        </is>
      </c>
      <c r="K432" s="7" t="inlineStr">
        <is>
          <t>C01</t>
        </is>
      </c>
      <c r="L432" s="7">
        <f>IF(H432=0, "Correto", "Divergente")</f>
        <v/>
      </c>
    </row>
    <row r="433">
      <c r="A433" s="8" t="n">
        <v>432</v>
      </c>
      <c r="B433" s="8" t="n">
        <v>24</v>
      </c>
      <c r="C433" s="9" t="inlineStr">
        <is>
          <t>Cartucho Colorido Premium (Modelo 10)</t>
        </is>
      </c>
      <c r="D433" s="9" t="inlineStr">
        <is>
          <t>Impressão</t>
        </is>
      </c>
      <c r="E433" s="10" t="inlineStr">
        <is>
          <t>2025-01-25</t>
        </is>
      </c>
      <c r="F433" s="11" t="n">
        <v>4553</v>
      </c>
      <c r="G433" s="11" t="n">
        <v>4553</v>
      </c>
      <c r="H433" s="11">
        <f>G433-F433</f>
        <v/>
      </c>
      <c r="I433" s="12">
        <f>H433/F433</f>
        <v/>
      </c>
      <c r="J433" s="9" t="inlineStr">
        <is>
          <t>Carlos Eduardo Rocha</t>
        </is>
      </c>
      <c r="K433" s="13" t="inlineStr">
        <is>
          <t>B01</t>
        </is>
      </c>
      <c r="L433" s="13">
        <f>IF(H433=0, "Correto", "Divergente")</f>
        <v/>
      </c>
    </row>
    <row r="434">
      <c r="A434" s="2" t="n">
        <v>433</v>
      </c>
      <c r="B434" s="2" t="n">
        <v>115</v>
      </c>
      <c r="C434" s="3" t="inlineStr">
        <is>
          <t>Headset USB com Cancelamento de Ruído (Modelo 11)</t>
        </is>
      </c>
      <c r="D434" s="3" t="inlineStr">
        <is>
          <t>Áudio</t>
        </is>
      </c>
      <c r="E434" s="4" t="inlineStr">
        <is>
          <t>2026-01-16</t>
        </is>
      </c>
      <c r="F434" s="5" t="n">
        <v>1173</v>
      </c>
      <c r="G434" s="5" t="n">
        <v>1167</v>
      </c>
      <c r="H434" s="5">
        <f>G434-F434</f>
        <v/>
      </c>
      <c r="I434" s="6">
        <f>H434/F434</f>
        <v/>
      </c>
      <c r="J434" s="3" t="inlineStr">
        <is>
          <t>Marcelo Fontes</t>
        </is>
      </c>
      <c r="K434" s="7" t="inlineStr">
        <is>
          <t>A01</t>
        </is>
      </c>
      <c r="L434" s="7">
        <f>IF(H434=0, "Correto", "Divergente")</f>
        <v/>
      </c>
    </row>
    <row r="435">
      <c r="A435" s="8" t="n">
        <v>434</v>
      </c>
      <c r="B435" s="8" t="n">
        <v>81</v>
      </c>
      <c r="C435" s="9" t="inlineStr">
        <is>
          <t>Notebook Corporate i5 16GB (Modelo 7)</t>
        </is>
      </c>
      <c r="D435" s="9" t="inlineStr">
        <is>
          <t>Informática</t>
        </is>
      </c>
      <c r="E435" s="10" t="inlineStr">
        <is>
          <t>2026-10-08</t>
        </is>
      </c>
      <c r="F435" s="11" t="n">
        <v>4275</v>
      </c>
      <c r="G435" s="11" t="n">
        <v>4088</v>
      </c>
      <c r="H435" s="11">
        <f>G435-F435</f>
        <v/>
      </c>
      <c r="I435" s="12">
        <f>H435/F435</f>
        <v/>
      </c>
      <c r="J435" s="9" t="inlineStr">
        <is>
          <t>Beatriz Castilho</t>
        </is>
      </c>
      <c r="K435" s="13" t="inlineStr">
        <is>
          <t>A02</t>
        </is>
      </c>
      <c r="L435" s="13">
        <f>IF(H435=0, "Correto", "Divergente")</f>
        <v/>
      </c>
    </row>
    <row r="436">
      <c r="A436" s="2" t="n">
        <v>435</v>
      </c>
      <c r="B436" s="2" t="n">
        <v>175</v>
      </c>
      <c r="C436" s="3" t="inlineStr">
        <is>
          <t>Headset USB com Cancelamento de Ruído (Modelo 11)</t>
        </is>
      </c>
      <c r="D436" s="3" t="inlineStr">
        <is>
          <t>Áudio</t>
        </is>
      </c>
      <c r="E436" s="4" t="inlineStr">
        <is>
          <t>2025-03-21</t>
        </is>
      </c>
      <c r="F436" s="5" t="n">
        <v>3878</v>
      </c>
      <c r="G436" s="5" t="n">
        <v>3878</v>
      </c>
      <c r="H436" s="5">
        <f>G436-F436</f>
        <v/>
      </c>
      <c r="I436" s="6">
        <f>H436/F436</f>
        <v/>
      </c>
      <c r="J436" s="3" t="inlineStr">
        <is>
          <t>Roberto Fernandes</t>
        </is>
      </c>
      <c r="K436" s="7" t="inlineStr">
        <is>
          <t>B03</t>
        </is>
      </c>
      <c r="L436" s="7">
        <f>IF(H436=0, "Correto", "Divergente")</f>
        <v/>
      </c>
    </row>
    <row r="437">
      <c r="A437" s="8" t="n">
        <v>436</v>
      </c>
      <c r="B437" s="8" t="n">
        <v>62</v>
      </c>
      <c r="C437" s="9" t="inlineStr">
        <is>
          <t>Webcam Full HD 1080p (Modelo 3)</t>
        </is>
      </c>
      <c r="D437" s="9" t="inlineStr">
        <is>
          <t>Periféricos</t>
        </is>
      </c>
      <c r="E437" s="10" t="inlineStr">
        <is>
          <t>2025-01-13</t>
        </is>
      </c>
      <c r="F437" s="11" t="n">
        <v>2809</v>
      </c>
      <c r="G437" s="11" t="n">
        <v>2809</v>
      </c>
      <c r="H437" s="11">
        <f>G437-F437</f>
        <v/>
      </c>
      <c r="I437" s="12">
        <f>H437/F437</f>
        <v/>
      </c>
      <c r="J437" s="9" t="inlineStr">
        <is>
          <t>Fernanda Vasconcelos</t>
        </is>
      </c>
      <c r="K437" s="13" t="inlineStr">
        <is>
          <t>C02</t>
        </is>
      </c>
      <c r="L437" s="13">
        <f>IF(H437=0, "Correto", "Divergente")</f>
        <v/>
      </c>
    </row>
    <row r="438">
      <c r="A438" s="2" t="n">
        <v>437</v>
      </c>
      <c r="B438" s="2" t="n">
        <v>10</v>
      </c>
      <c r="C438" s="3" t="inlineStr">
        <is>
          <t>Fonte Atx 500W 80 Plus (Modelo 11)</t>
        </is>
      </c>
      <c r="D438" s="3" t="inlineStr">
        <is>
          <t>Componentes</t>
        </is>
      </c>
      <c r="E438" s="4" t="inlineStr">
        <is>
          <t>2026-08-22</t>
        </is>
      </c>
      <c r="F438" s="5" t="n">
        <v>1575</v>
      </c>
      <c r="G438" s="5" t="n">
        <v>1575</v>
      </c>
      <c r="H438" s="5">
        <f>G438-F438</f>
        <v/>
      </c>
      <c r="I438" s="6">
        <f>H438/F438</f>
        <v/>
      </c>
      <c r="J438" s="3" t="inlineStr">
        <is>
          <t>Carlos Eduardo Rocha</t>
        </is>
      </c>
      <c r="K438" s="7" t="inlineStr">
        <is>
          <t>Depósito Externo</t>
        </is>
      </c>
      <c r="L438" s="7">
        <f>IF(H438=0, "Correto", "Divergente")</f>
        <v/>
      </c>
    </row>
    <row r="439">
      <c r="A439" s="8" t="n">
        <v>438</v>
      </c>
      <c r="B439" s="8" t="n">
        <v>13</v>
      </c>
      <c r="C439" s="9" t="inlineStr">
        <is>
          <t>Monitor LED 21.5" Full HD (Modelo 14)</t>
        </is>
      </c>
      <c r="D439" s="9" t="inlineStr">
        <is>
          <t>Monitores</t>
        </is>
      </c>
      <c r="E439" s="10" t="inlineStr">
        <is>
          <t>2026-02-25</t>
        </is>
      </c>
      <c r="F439" s="11" t="n">
        <v>1284</v>
      </c>
      <c r="G439" s="11" t="n">
        <v>1284</v>
      </c>
      <c r="H439" s="11">
        <f>G439-F439</f>
        <v/>
      </c>
      <c r="I439" s="12">
        <f>H439/F439</f>
        <v/>
      </c>
      <c r="J439" s="9" t="inlineStr">
        <is>
          <t>Fernanda Vasconcelos</t>
        </is>
      </c>
      <c r="K439" s="13" t="inlineStr">
        <is>
          <t>A03</t>
        </is>
      </c>
      <c r="L439" s="13">
        <f>IF(H439=0, "Correto", "Divergente")</f>
        <v/>
      </c>
    </row>
    <row r="440">
      <c r="A440" s="2" t="n">
        <v>439</v>
      </c>
      <c r="B440" s="2" t="n">
        <v>108</v>
      </c>
      <c r="C440" s="3" t="inlineStr">
        <is>
          <t>Repetidor Wi-Fi 1200Mbps (Modelo 4)</t>
        </is>
      </c>
      <c r="D440" s="3" t="inlineStr">
        <is>
          <t>Redes</t>
        </is>
      </c>
      <c r="E440" s="4" t="inlineStr">
        <is>
          <t>2025-07-14</t>
        </is>
      </c>
      <c r="F440" s="5" t="n">
        <v>2276</v>
      </c>
      <c r="G440" s="5" t="n">
        <v>2276</v>
      </c>
      <c r="H440" s="5">
        <f>G440-F440</f>
        <v/>
      </c>
      <c r="I440" s="6">
        <f>H440/F440</f>
        <v/>
      </c>
      <c r="J440" s="3" t="inlineStr">
        <is>
          <t>Patricia Prado</t>
        </is>
      </c>
      <c r="K440" s="7" t="inlineStr">
        <is>
          <t>B02</t>
        </is>
      </c>
      <c r="L440" s="7">
        <f>IF(H440=0, "Correto", "Divergente")</f>
        <v/>
      </c>
    </row>
    <row r="441">
      <c r="A441" s="8" t="n">
        <v>440</v>
      </c>
      <c r="B441" s="8" t="n">
        <v>58</v>
      </c>
      <c r="C441" s="9" t="inlineStr">
        <is>
          <t>Access Point Wi-Fi Corporativo (Modelo 14)</t>
        </is>
      </c>
      <c r="D441" s="9" t="inlineStr">
        <is>
          <t>Redes</t>
        </is>
      </c>
      <c r="E441" s="10" t="inlineStr">
        <is>
          <t>2026-05-12</t>
        </is>
      </c>
      <c r="F441" s="11" t="n">
        <v>4518</v>
      </c>
      <c r="G441" s="11" t="n">
        <v>4429</v>
      </c>
      <c r="H441" s="11">
        <f>G441-F441</f>
        <v/>
      </c>
      <c r="I441" s="12">
        <f>H441/F441</f>
        <v/>
      </c>
      <c r="J441" s="9" t="inlineStr">
        <is>
          <t>Fernanda Vasconcelos</t>
        </is>
      </c>
      <c r="K441" s="13" t="inlineStr">
        <is>
          <t>A02</t>
        </is>
      </c>
      <c r="L441" s="13">
        <f>IF(H441=0, "Correto", "Divergente")</f>
        <v/>
      </c>
    </row>
    <row r="442">
      <c r="A442" s="2" t="n">
        <v>441</v>
      </c>
      <c r="B442" s="2" t="n">
        <v>12</v>
      </c>
      <c r="C442" s="3" t="inlineStr">
        <is>
          <t>Combo Teclado e Mouse (Modelo 13)</t>
        </is>
      </c>
      <c r="D442" s="3" t="inlineStr">
        <is>
          <t>Periféricos</t>
        </is>
      </c>
      <c r="E442" s="4" t="inlineStr">
        <is>
          <t>2025-08-16</t>
        </is>
      </c>
      <c r="F442" s="5" t="n">
        <v>840</v>
      </c>
      <c r="G442" s="5" t="n">
        <v>840</v>
      </c>
      <c r="H442" s="5">
        <f>G442-F442</f>
        <v/>
      </c>
      <c r="I442" s="6">
        <f>H442/F442</f>
        <v/>
      </c>
      <c r="J442" s="3" t="inlineStr">
        <is>
          <t>Gustavo Silveira</t>
        </is>
      </c>
      <c r="K442" s="7" t="inlineStr">
        <is>
          <t>A02</t>
        </is>
      </c>
      <c r="L442" s="7">
        <f>IF(H442=0, "Correto", "Divergente")</f>
        <v/>
      </c>
    </row>
    <row r="443">
      <c r="A443" s="8" t="n">
        <v>442</v>
      </c>
      <c r="B443" s="8" t="n">
        <v>71</v>
      </c>
      <c r="C443" s="9" t="inlineStr">
        <is>
          <t>Chromebook 11.6" (Modelo 12)</t>
        </is>
      </c>
      <c r="D443" s="9" t="inlineStr">
        <is>
          <t>Informática</t>
        </is>
      </c>
      <c r="E443" s="10" t="inlineStr">
        <is>
          <t>2024-10-05</t>
        </is>
      </c>
      <c r="F443" s="11" t="n">
        <v>1378</v>
      </c>
      <c r="G443" s="11" t="n">
        <v>1378</v>
      </c>
      <c r="H443" s="11">
        <f>G443-F443</f>
        <v/>
      </c>
      <c r="I443" s="12">
        <f>H443/F443</f>
        <v/>
      </c>
      <c r="J443" s="9" t="inlineStr">
        <is>
          <t>Mariana Alcantara</t>
        </is>
      </c>
      <c r="K443" s="13" t="inlineStr">
        <is>
          <t>B03</t>
        </is>
      </c>
      <c r="L443" s="13">
        <f>IF(H443=0, "Correto", "Divergente")</f>
        <v/>
      </c>
    </row>
    <row r="444">
      <c r="A444" s="2" t="n">
        <v>443</v>
      </c>
      <c r="B444" s="2" t="n">
        <v>39</v>
      </c>
      <c r="C444" s="3" t="inlineStr">
        <is>
          <t>Nobreak 1200VA Bivolt (Modelo 10)</t>
        </is>
      </c>
      <c r="D444" s="3" t="inlineStr">
        <is>
          <t>Acessórios</t>
        </is>
      </c>
      <c r="E444" s="4" t="inlineStr">
        <is>
          <t>2024-06-04</t>
        </is>
      </c>
      <c r="F444" s="5" t="n">
        <v>3245</v>
      </c>
      <c r="G444" s="5" t="n">
        <v>3105</v>
      </c>
      <c r="H444" s="5">
        <f>G444-F444</f>
        <v/>
      </c>
      <c r="I444" s="6">
        <f>H444/F444</f>
        <v/>
      </c>
      <c r="J444" s="3" t="inlineStr">
        <is>
          <t>Patricia Prado</t>
        </is>
      </c>
      <c r="K444" s="7" t="inlineStr">
        <is>
          <t>C01</t>
        </is>
      </c>
      <c r="L444" s="7">
        <f>IF(H444=0, "Correto", "Divergente")</f>
        <v/>
      </c>
    </row>
    <row r="445">
      <c r="A445" s="8" t="n">
        <v>444</v>
      </c>
      <c r="B445" s="8" t="n">
        <v>115</v>
      </c>
      <c r="C445" s="9" t="inlineStr">
        <is>
          <t>Headset USB com Cancelamento de Ruído (Modelo 11)</t>
        </is>
      </c>
      <c r="D445" s="9" t="inlineStr">
        <is>
          <t>Áudio</t>
        </is>
      </c>
      <c r="E445" s="10" t="inlineStr">
        <is>
          <t>2026-01-04</t>
        </is>
      </c>
      <c r="F445" s="11" t="n">
        <v>1263</v>
      </c>
      <c r="G445" s="11" t="n">
        <v>1084</v>
      </c>
      <c r="H445" s="11">
        <f>G445-F445</f>
        <v/>
      </c>
      <c r="I445" s="12">
        <f>H445/F445</f>
        <v/>
      </c>
      <c r="J445" s="9" t="inlineStr">
        <is>
          <t>Beatriz Castilho</t>
        </is>
      </c>
      <c r="K445" s="13" t="inlineStr">
        <is>
          <t>C03</t>
        </is>
      </c>
      <c r="L445" s="13">
        <f>IF(H445=0, "Correto", "Divergente")</f>
        <v/>
      </c>
    </row>
    <row r="446">
      <c r="A446" s="2" t="n">
        <v>445</v>
      </c>
      <c r="B446" s="2" t="n">
        <v>174</v>
      </c>
      <c r="C446" s="3" t="inlineStr">
        <is>
          <t>Cartucho Colorido Premium (Modelo 10)</t>
        </is>
      </c>
      <c r="D446" s="3" t="inlineStr">
        <is>
          <t>Impressão</t>
        </is>
      </c>
      <c r="E446" s="4" t="inlineStr">
        <is>
          <t>2024-06-28</t>
        </is>
      </c>
      <c r="F446" s="5" t="n">
        <v>4300</v>
      </c>
      <c r="G446" s="5" t="n">
        <v>4366</v>
      </c>
      <c r="H446" s="5">
        <f>G446-F446</f>
        <v/>
      </c>
      <c r="I446" s="6">
        <f>H446/F446</f>
        <v/>
      </c>
      <c r="J446" s="3" t="inlineStr">
        <is>
          <t>Marcelo Fontes</t>
        </is>
      </c>
      <c r="K446" s="7" t="inlineStr">
        <is>
          <t>Depósito Externo</t>
        </is>
      </c>
      <c r="L446" s="7">
        <f>IF(H446=0, "Correto", "Divergente")</f>
        <v/>
      </c>
    </row>
    <row r="447">
      <c r="A447" s="8" t="n">
        <v>446</v>
      </c>
      <c r="B447" s="8" t="n">
        <v>198</v>
      </c>
      <c r="C447" s="9" t="inlineStr">
        <is>
          <t>Repetidor Wi-Fi 1200Mbps (Modelo 4)</t>
        </is>
      </c>
      <c r="D447" s="9" t="inlineStr">
        <is>
          <t>Redes</t>
        </is>
      </c>
      <c r="E447" s="10" t="inlineStr">
        <is>
          <t>2025-02-02</t>
        </is>
      </c>
      <c r="F447" s="11" t="n">
        <v>4255</v>
      </c>
      <c r="G447" s="11" t="n">
        <v>4255</v>
      </c>
      <c r="H447" s="11">
        <f>G447-F447</f>
        <v/>
      </c>
      <c r="I447" s="12">
        <f>H447/F447</f>
        <v/>
      </c>
      <c r="J447" s="9" t="inlineStr">
        <is>
          <t>Roberto Fernandes</t>
        </is>
      </c>
      <c r="K447" s="13" t="inlineStr">
        <is>
          <t>Depósito Externo</t>
        </is>
      </c>
      <c r="L447" s="13">
        <f>IF(H447=0, "Correto", "Divergente")</f>
        <v/>
      </c>
    </row>
    <row r="448">
      <c r="A448" s="2" t="n">
        <v>447</v>
      </c>
      <c r="B448" s="2" t="n">
        <v>153</v>
      </c>
      <c r="C448" s="3" t="inlineStr">
        <is>
          <t>Monitor 27" Curvo 144Hz (Modelo 4)</t>
        </is>
      </c>
      <c r="D448" s="3" t="inlineStr">
        <is>
          <t>Monitores</t>
        </is>
      </c>
      <c r="E448" s="4" t="inlineStr">
        <is>
          <t>2024-02-29</t>
        </is>
      </c>
      <c r="F448" s="5" t="n">
        <v>3661</v>
      </c>
      <c r="G448" s="5" t="n">
        <v>3661</v>
      </c>
      <c r="H448" s="5">
        <f>G448-F448</f>
        <v/>
      </c>
      <c r="I448" s="6">
        <f>H448/F448</f>
        <v/>
      </c>
      <c r="J448" s="3" t="inlineStr">
        <is>
          <t>Camila Azevedo</t>
        </is>
      </c>
      <c r="K448" s="7" t="inlineStr">
        <is>
          <t>A02</t>
        </is>
      </c>
      <c r="L448" s="7">
        <f>IF(H448=0, "Correto", "Divergente")</f>
        <v/>
      </c>
    </row>
    <row r="449">
      <c r="A449" s="8" t="n">
        <v>448</v>
      </c>
      <c r="B449" s="8" t="n">
        <v>58</v>
      </c>
      <c r="C449" s="9" t="inlineStr">
        <is>
          <t>Access Point Wi-Fi Corporativo (Modelo 14)</t>
        </is>
      </c>
      <c r="D449" s="9" t="inlineStr">
        <is>
          <t>Redes</t>
        </is>
      </c>
      <c r="E449" s="10" t="inlineStr">
        <is>
          <t>2024-06-25</t>
        </is>
      </c>
      <c r="F449" s="11" t="n">
        <v>3673</v>
      </c>
      <c r="G449" s="11" t="n">
        <v>3673</v>
      </c>
      <c r="H449" s="11">
        <f>G449-F449</f>
        <v/>
      </c>
      <c r="I449" s="12">
        <f>H449/F449</f>
        <v/>
      </c>
      <c r="J449" s="9" t="inlineStr">
        <is>
          <t>Carlos Eduardo Rocha</t>
        </is>
      </c>
      <c r="K449" s="13" t="inlineStr">
        <is>
          <t>C01</t>
        </is>
      </c>
      <c r="L449" s="13">
        <f>IF(H449=0, "Correto", "Divergente")</f>
        <v/>
      </c>
    </row>
    <row r="450">
      <c r="A450" s="2" t="n">
        <v>449</v>
      </c>
      <c r="B450" s="2" t="n">
        <v>13</v>
      </c>
      <c r="C450" s="3" t="inlineStr">
        <is>
          <t>Monitor LED 21.5" Full HD (Modelo 14)</t>
        </is>
      </c>
      <c r="D450" s="3" t="inlineStr">
        <is>
          <t>Monitores</t>
        </is>
      </c>
      <c r="E450" s="4" t="inlineStr">
        <is>
          <t>2024-09-01</t>
        </is>
      </c>
      <c r="F450" s="5" t="n">
        <v>3234</v>
      </c>
      <c r="G450" s="5" t="n">
        <v>3234</v>
      </c>
      <c r="H450" s="5">
        <f>G450-F450</f>
        <v/>
      </c>
      <c r="I450" s="6">
        <f>H450/F450</f>
        <v/>
      </c>
      <c r="J450" s="3" t="inlineStr">
        <is>
          <t>Patricia Prado</t>
        </is>
      </c>
      <c r="K450" s="7" t="inlineStr">
        <is>
          <t>C01</t>
        </is>
      </c>
      <c r="L450" s="7">
        <f>IF(H450=0, "Correto", "Divergente")</f>
        <v/>
      </c>
    </row>
    <row r="451">
      <c r="A451" s="8" t="n">
        <v>450</v>
      </c>
      <c r="B451" s="8" t="n">
        <v>78</v>
      </c>
      <c r="C451" s="9" t="inlineStr">
        <is>
          <t>Repetidor Wi-Fi 1200Mbps (Modelo 4)</t>
        </is>
      </c>
      <c r="D451" s="9" t="inlineStr">
        <is>
          <t>Redes</t>
        </is>
      </c>
      <c r="E451" s="10" t="inlineStr">
        <is>
          <t>2025-07-03</t>
        </is>
      </c>
      <c r="F451" s="11" t="n">
        <v>3679</v>
      </c>
      <c r="G451" s="11" t="n">
        <v>3679</v>
      </c>
      <c r="H451" s="11">
        <f>G451-F451</f>
        <v/>
      </c>
      <c r="I451" s="12">
        <f>H451/F451</f>
        <v/>
      </c>
      <c r="J451" s="9" t="inlineStr">
        <is>
          <t>Marcelo Fontes</t>
        </is>
      </c>
      <c r="K451" s="13" t="inlineStr">
        <is>
          <t>B01</t>
        </is>
      </c>
      <c r="L451" s="13">
        <f>IF(H451=0, "Correto", "Divergente")</f>
        <v/>
      </c>
    </row>
    <row r="452">
      <c r="A452" s="2" t="n">
        <v>451</v>
      </c>
      <c r="B452" s="2" t="n">
        <v>128</v>
      </c>
      <c r="C452" s="3" t="inlineStr">
        <is>
          <t>Switch Gigabit 16 Portas (Modelo 9)</t>
        </is>
      </c>
      <c r="D452" s="3" t="inlineStr">
        <is>
          <t>Redes</t>
        </is>
      </c>
      <c r="E452" s="4" t="inlineStr">
        <is>
          <t>2026-06-01</t>
        </is>
      </c>
      <c r="F452" s="5" t="n">
        <v>4131</v>
      </c>
      <c r="G452" s="5" t="n">
        <v>4131</v>
      </c>
      <c r="H452" s="5">
        <f>G452-F452</f>
        <v/>
      </c>
      <c r="I452" s="6">
        <f>H452/F452</f>
        <v/>
      </c>
      <c r="J452" s="3" t="inlineStr">
        <is>
          <t>Mariana Alcantara</t>
        </is>
      </c>
      <c r="K452" s="7" t="inlineStr">
        <is>
          <t>C02</t>
        </is>
      </c>
      <c r="L452" s="7">
        <f>IF(H452=0, "Correto", "Divergente")</f>
        <v/>
      </c>
    </row>
    <row r="453">
      <c r="A453" s="8" t="n">
        <v>452</v>
      </c>
      <c r="B453" s="8" t="n">
        <v>189</v>
      </c>
      <c r="C453" s="9" t="inlineStr">
        <is>
          <t>Mousepad Extra Grande (Modelo 10)</t>
        </is>
      </c>
      <c r="D453" s="9" t="inlineStr">
        <is>
          <t>Acessórios</t>
        </is>
      </c>
      <c r="E453" s="10" t="inlineStr">
        <is>
          <t>2026-07-19</t>
        </is>
      </c>
      <c r="F453" s="11" t="n">
        <v>3539</v>
      </c>
      <c r="G453" s="11" t="n">
        <v>3539</v>
      </c>
      <c r="H453" s="11">
        <f>G453-F453</f>
        <v/>
      </c>
      <c r="I453" s="12">
        <f>H453/F453</f>
        <v/>
      </c>
      <c r="J453" s="9" t="inlineStr">
        <is>
          <t>Fernanda Vasconcelos</t>
        </is>
      </c>
      <c r="K453" s="13" t="inlineStr">
        <is>
          <t>B02</t>
        </is>
      </c>
      <c r="L453" s="13">
        <f>IF(H453=0, "Correto", "Divergente")</f>
        <v/>
      </c>
    </row>
    <row r="454">
      <c r="A454" s="2" t="n">
        <v>453</v>
      </c>
      <c r="B454" s="2" t="n">
        <v>33</v>
      </c>
      <c r="C454" s="3" t="inlineStr">
        <is>
          <t>Monitor 27" Curvo 144Hz (Modelo 4)</t>
        </is>
      </c>
      <c r="D454" s="3" t="inlineStr">
        <is>
          <t>Monitores</t>
        </is>
      </c>
      <c r="E454" s="4" t="inlineStr">
        <is>
          <t>2025-01-26</t>
        </is>
      </c>
      <c r="F454" s="5" t="n">
        <v>3187</v>
      </c>
      <c r="G454" s="5" t="n">
        <v>3187</v>
      </c>
      <c r="H454" s="5">
        <f>G454-F454</f>
        <v/>
      </c>
      <c r="I454" s="6">
        <f>H454/F454</f>
        <v/>
      </c>
      <c r="J454" s="3" t="inlineStr">
        <is>
          <t>Camila Azevedo</t>
        </is>
      </c>
      <c r="K454" s="7" t="inlineStr">
        <is>
          <t>C01</t>
        </is>
      </c>
      <c r="L454" s="7">
        <f>IF(H454=0, "Correto", "Divergente")</f>
        <v/>
      </c>
    </row>
    <row r="455">
      <c r="A455" s="8" t="n">
        <v>454</v>
      </c>
      <c r="B455" s="8" t="n">
        <v>180</v>
      </c>
      <c r="C455" s="9" t="inlineStr">
        <is>
          <t>Cooler para Processador 120mm (Modelo 1)</t>
        </is>
      </c>
      <c r="D455" s="9" t="inlineStr">
        <is>
          <t>Componentes</t>
        </is>
      </c>
      <c r="E455" s="10" t="inlineStr">
        <is>
          <t>2026-02-14</t>
        </is>
      </c>
      <c r="F455" s="11" t="n">
        <v>355</v>
      </c>
      <c r="G455" s="11" t="n">
        <v>355</v>
      </c>
      <c r="H455" s="11">
        <f>G455-F455</f>
        <v/>
      </c>
      <c r="I455" s="12">
        <f>H455/F455</f>
        <v/>
      </c>
      <c r="J455" s="9" t="inlineStr">
        <is>
          <t>Marcelo Fontes</t>
        </is>
      </c>
      <c r="K455" s="13" t="inlineStr">
        <is>
          <t>B01</t>
        </is>
      </c>
      <c r="L455" s="13">
        <f>IF(H455=0, "Correto", "Divergente")</f>
        <v/>
      </c>
    </row>
    <row r="456">
      <c r="A456" s="2" t="n">
        <v>455</v>
      </c>
      <c r="B456" s="2" t="n">
        <v>113</v>
      </c>
      <c r="C456" s="3" t="inlineStr">
        <is>
          <t>Monitor 4K 32" Profissional (Modelo 9)</t>
        </is>
      </c>
      <c r="D456" s="3" t="inlineStr">
        <is>
          <t>Monitores</t>
        </is>
      </c>
      <c r="E456" s="4" t="inlineStr">
        <is>
          <t>2025-11-15</t>
        </is>
      </c>
      <c r="F456" s="5" t="n">
        <v>2185</v>
      </c>
      <c r="G456" s="5" t="n">
        <v>2185</v>
      </c>
      <c r="H456" s="5">
        <f>G456-F456</f>
        <v/>
      </c>
      <c r="I456" s="6">
        <f>H456/F456</f>
        <v/>
      </c>
      <c r="J456" s="3" t="inlineStr">
        <is>
          <t>Ricardo Mendes</t>
        </is>
      </c>
      <c r="K456" s="7" t="inlineStr">
        <is>
          <t>A02</t>
        </is>
      </c>
      <c r="L456" s="7">
        <f>IF(H456=0, "Correto", "Divergente")</f>
        <v/>
      </c>
    </row>
    <row r="457">
      <c r="A457" s="8" t="n">
        <v>456</v>
      </c>
      <c r="B457" s="8" t="n">
        <v>85</v>
      </c>
      <c r="C457" s="9" t="inlineStr">
        <is>
          <t>Headset USB com Cancelamento de Ruído (Modelo 11)</t>
        </is>
      </c>
      <c r="D457" s="9" t="inlineStr">
        <is>
          <t>Áudio</t>
        </is>
      </c>
      <c r="E457" s="10" t="inlineStr">
        <is>
          <t>2025-07-31</t>
        </is>
      </c>
      <c r="F457" s="11" t="n">
        <v>4035</v>
      </c>
      <c r="G457" s="11" t="n">
        <v>4035</v>
      </c>
      <c r="H457" s="11">
        <f>G457-F457</f>
        <v/>
      </c>
      <c r="I457" s="12">
        <f>H457/F457</f>
        <v/>
      </c>
      <c r="J457" s="9" t="inlineStr">
        <is>
          <t>Fernanda Vasconcelos</t>
        </is>
      </c>
      <c r="K457" s="13" t="inlineStr">
        <is>
          <t>B01</t>
        </is>
      </c>
      <c r="L457" s="13">
        <f>IF(H457=0, "Correto", "Divergente")</f>
        <v/>
      </c>
    </row>
    <row r="458">
      <c r="A458" s="2" t="n">
        <v>457</v>
      </c>
      <c r="B458" s="2" t="n">
        <v>163</v>
      </c>
      <c r="C458" s="3" t="inlineStr">
        <is>
          <t>Monitor LED 21.5" Full HD (Modelo 14)</t>
        </is>
      </c>
      <c r="D458" s="3" t="inlineStr">
        <is>
          <t>Monitores</t>
        </is>
      </c>
      <c r="E458" s="4" t="inlineStr">
        <is>
          <t>2025-01-19</t>
        </is>
      </c>
      <c r="F458" s="5" t="n">
        <v>3757</v>
      </c>
      <c r="G458" s="5" t="n">
        <v>3757</v>
      </c>
      <c r="H458" s="5">
        <f>G458-F458</f>
        <v/>
      </c>
      <c r="I458" s="6">
        <f>H458/F458</f>
        <v/>
      </c>
      <c r="J458" s="3" t="inlineStr">
        <is>
          <t>Fernanda Vasconcelos</t>
        </is>
      </c>
      <c r="K458" s="7" t="inlineStr">
        <is>
          <t>C01</t>
        </is>
      </c>
      <c r="L458" s="7">
        <f>IF(H458=0, "Correto", "Divergente")</f>
        <v/>
      </c>
    </row>
    <row r="459">
      <c r="A459" s="8" t="n">
        <v>458</v>
      </c>
      <c r="B459" s="8" t="n">
        <v>172</v>
      </c>
      <c r="C459" s="9" t="inlineStr">
        <is>
          <t>Mouse Sem Fio Bluetooth (Modelo 8)</t>
        </is>
      </c>
      <c r="D459" s="9" t="inlineStr">
        <is>
          <t>Periféricos</t>
        </is>
      </c>
      <c r="E459" s="10" t="inlineStr">
        <is>
          <t>2026-03-08</t>
        </is>
      </c>
      <c r="F459" s="11" t="n">
        <v>1550</v>
      </c>
      <c r="G459" s="11" t="n">
        <v>1550</v>
      </c>
      <c r="H459" s="11">
        <f>G459-F459</f>
        <v/>
      </c>
      <c r="I459" s="12">
        <f>H459/F459</f>
        <v/>
      </c>
      <c r="J459" s="9" t="inlineStr">
        <is>
          <t>Ricardo Mendes</t>
        </is>
      </c>
      <c r="K459" s="13" t="inlineStr">
        <is>
          <t>B02</t>
        </is>
      </c>
      <c r="L459" s="13">
        <f>IF(H459=0, "Correto", "Divergente")</f>
        <v/>
      </c>
    </row>
    <row r="460">
      <c r="A460" s="2" t="n">
        <v>459</v>
      </c>
      <c r="B460" s="2" t="n">
        <v>101</v>
      </c>
      <c r="C460" s="3" t="inlineStr">
        <is>
          <t>Mini PC Ryzen 5 (Modelo 12)</t>
        </is>
      </c>
      <c r="D460" s="3" t="inlineStr">
        <is>
          <t>Informática</t>
        </is>
      </c>
      <c r="E460" s="4" t="inlineStr">
        <is>
          <t>2024-07-13</t>
        </is>
      </c>
      <c r="F460" s="5" t="n">
        <v>4578</v>
      </c>
      <c r="G460" s="5" t="n">
        <v>4138</v>
      </c>
      <c r="H460" s="5">
        <f>G460-F460</f>
        <v/>
      </c>
      <c r="I460" s="6">
        <f>H460/F460</f>
        <v/>
      </c>
      <c r="J460" s="3" t="inlineStr">
        <is>
          <t>Marcelo Fontes</t>
        </is>
      </c>
      <c r="K460" s="7" t="inlineStr">
        <is>
          <t>B01</t>
        </is>
      </c>
      <c r="L460" s="7">
        <f>IF(H460=0, "Correto", "Divergente")</f>
        <v/>
      </c>
    </row>
    <row r="461">
      <c r="A461" s="8" t="n">
        <v>460</v>
      </c>
      <c r="B461" s="8" t="n">
        <v>55</v>
      </c>
      <c r="C461" s="9" t="inlineStr">
        <is>
          <t>Headset USB com Cancelamento de Ruído (Modelo 11)</t>
        </is>
      </c>
      <c r="D461" s="9" t="inlineStr">
        <is>
          <t>Áudio</t>
        </is>
      </c>
      <c r="E461" s="10" t="inlineStr">
        <is>
          <t>2024-07-20</t>
        </is>
      </c>
      <c r="F461" s="11" t="n">
        <v>3903</v>
      </c>
      <c r="G461" s="11" t="n">
        <v>3903</v>
      </c>
      <c r="H461" s="11">
        <f>G461-F461</f>
        <v/>
      </c>
      <c r="I461" s="12">
        <f>H461/F461</f>
        <v/>
      </c>
      <c r="J461" s="9" t="inlineStr">
        <is>
          <t>Carlos Eduardo Rocha</t>
        </is>
      </c>
      <c r="K461" s="13" t="inlineStr">
        <is>
          <t>B03</t>
        </is>
      </c>
      <c r="L461" s="13">
        <f>IF(H461=0, "Correto", "Divergente")</f>
        <v/>
      </c>
    </row>
    <row r="462">
      <c r="A462" s="2" t="n">
        <v>461</v>
      </c>
      <c r="B462" s="2" t="n">
        <v>80</v>
      </c>
      <c r="C462" s="3" t="inlineStr">
        <is>
          <t>Memória RAM DDR4 16GB 3200MHz (Modelo 6)</t>
        </is>
      </c>
      <c r="D462" s="3" t="inlineStr">
        <is>
          <t>Componentes</t>
        </is>
      </c>
      <c r="E462" s="4" t="inlineStr">
        <is>
          <t>2024-01-16</t>
        </is>
      </c>
      <c r="F462" s="5" t="n">
        <v>2539</v>
      </c>
      <c r="G462" s="5" t="n">
        <v>2539</v>
      </c>
      <c r="H462" s="5">
        <f>G462-F462</f>
        <v/>
      </c>
      <c r="I462" s="6">
        <f>H462/F462</f>
        <v/>
      </c>
      <c r="J462" s="3" t="inlineStr">
        <is>
          <t>Beatriz Castilho</t>
        </is>
      </c>
      <c r="K462" s="7" t="inlineStr">
        <is>
          <t>B01</t>
        </is>
      </c>
      <c r="L462" s="7">
        <f>IF(H462=0, "Correto", "Divergente")</f>
        <v/>
      </c>
    </row>
    <row r="463">
      <c r="A463" s="8" t="n">
        <v>462</v>
      </c>
      <c r="B463" s="8" t="n">
        <v>47</v>
      </c>
      <c r="C463" s="9" t="inlineStr">
        <is>
          <t>Capa Protetora para Tablet (Modelo 3)</t>
        </is>
      </c>
      <c r="D463" s="9" t="inlineStr">
        <is>
          <t>Smartphones</t>
        </is>
      </c>
      <c r="E463" s="10" t="inlineStr">
        <is>
          <t>2024-07-30</t>
        </is>
      </c>
      <c r="F463" s="11" t="n">
        <v>3401</v>
      </c>
      <c r="G463" s="11" t="n">
        <v>3401</v>
      </c>
      <c r="H463" s="11">
        <f>G463-F463</f>
        <v/>
      </c>
      <c r="I463" s="12">
        <f>H463/F463</f>
        <v/>
      </c>
      <c r="J463" s="9" t="inlineStr">
        <is>
          <t>Patricia Prado</t>
        </is>
      </c>
      <c r="K463" s="13" t="inlineStr">
        <is>
          <t>A01</t>
        </is>
      </c>
      <c r="L463" s="13">
        <f>IF(H463=0, "Correto", "Divergente")</f>
        <v/>
      </c>
    </row>
    <row r="464">
      <c r="A464" s="2" t="n">
        <v>463</v>
      </c>
      <c r="B464" s="2" t="n">
        <v>120</v>
      </c>
      <c r="C464" s="3" t="inlineStr">
        <is>
          <t>Cooler para Processador 120mm (Modelo 1)</t>
        </is>
      </c>
      <c r="D464" s="3" t="inlineStr">
        <is>
          <t>Componentes</t>
        </is>
      </c>
      <c r="E464" s="4" t="inlineStr">
        <is>
          <t>2026-10-25</t>
        </is>
      </c>
      <c r="F464" s="5" t="n">
        <v>2355</v>
      </c>
      <c r="G464" s="5" t="n">
        <v>2355</v>
      </c>
      <c r="H464" s="5">
        <f>G464-F464</f>
        <v/>
      </c>
      <c r="I464" s="6">
        <f>H464/F464</f>
        <v/>
      </c>
      <c r="J464" s="3" t="inlineStr">
        <is>
          <t>Fernanda Vasconcelos</t>
        </is>
      </c>
      <c r="K464" s="7" t="inlineStr">
        <is>
          <t>A02</t>
        </is>
      </c>
      <c r="L464" s="7">
        <f>IF(H464=0, "Correto", "Divergente")</f>
        <v/>
      </c>
    </row>
    <row r="465">
      <c r="A465" s="8" t="n">
        <v>464</v>
      </c>
      <c r="B465" s="8" t="n">
        <v>117</v>
      </c>
      <c r="C465" s="9" t="inlineStr">
        <is>
          <t>Tablet 10.1" Wi-Fi 64GB (Modelo 13)</t>
        </is>
      </c>
      <c r="D465" s="9" t="inlineStr">
        <is>
          <t>Smartphones</t>
        </is>
      </c>
      <c r="E465" s="10" t="inlineStr">
        <is>
          <t>2025-04-17</t>
        </is>
      </c>
      <c r="F465" s="11" t="n">
        <v>3439</v>
      </c>
      <c r="G465" s="11" t="n">
        <v>3447</v>
      </c>
      <c r="H465" s="11">
        <f>G465-F465</f>
        <v/>
      </c>
      <c r="I465" s="12">
        <f>H465/F465</f>
        <v/>
      </c>
      <c r="J465" s="9" t="inlineStr">
        <is>
          <t>Mariana Alcantara</t>
        </is>
      </c>
      <c r="K465" s="13" t="inlineStr">
        <is>
          <t>A03</t>
        </is>
      </c>
      <c r="L465" s="13">
        <f>IF(H465=0, "Correto", "Divergente")</f>
        <v/>
      </c>
    </row>
    <row r="466">
      <c r="A466" s="2" t="n">
        <v>465</v>
      </c>
      <c r="B466" s="2" t="n">
        <v>196</v>
      </c>
      <c r="C466" s="3" t="inlineStr">
        <is>
          <t>HD Externo Portátil 2TB (Modelo 2)</t>
        </is>
      </c>
      <c r="D466" s="3" t="inlineStr">
        <is>
          <t>Armazenamento</t>
        </is>
      </c>
      <c r="E466" s="4" t="inlineStr">
        <is>
          <t>2026-10-13</t>
        </is>
      </c>
      <c r="F466" s="5" t="n">
        <v>1303</v>
      </c>
      <c r="G466" s="5" t="n">
        <v>1303</v>
      </c>
      <c r="H466" s="5">
        <f>G466-F466</f>
        <v/>
      </c>
      <c r="I466" s="6">
        <f>H466/F466</f>
        <v/>
      </c>
      <c r="J466" s="3" t="inlineStr">
        <is>
          <t>Beatriz Castilho</t>
        </is>
      </c>
      <c r="K466" s="7" t="inlineStr">
        <is>
          <t>C01</t>
        </is>
      </c>
      <c r="L466" s="7">
        <f>IF(H466=0, "Correto", "Divergente")</f>
        <v/>
      </c>
    </row>
    <row r="467">
      <c r="A467" s="8" t="n">
        <v>466</v>
      </c>
      <c r="B467" s="8" t="n">
        <v>84</v>
      </c>
      <c r="C467" s="9" t="inlineStr">
        <is>
          <t>Cartucho Colorido Premium (Modelo 10)</t>
        </is>
      </c>
      <c r="D467" s="9" t="inlineStr">
        <is>
          <t>Impressão</t>
        </is>
      </c>
      <c r="E467" s="10" t="inlineStr">
        <is>
          <t>2024-08-16</t>
        </is>
      </c>
      <c r="F467" s="11" t="n">
        <v>3603</v>
      </c>
      <c r="G467" s="11" t="n">
        <v>3603</v>
      </c>
      <c r="H467" s="11">
        <f>G467-F467</f>
        <v/>
      </c>
      <c r="I467" s="12">
        <f>H467/F467</f>
        <v/>
      </c>
      <c r="J467" s="9" t="inlineStr">
        <is>
          <t>Patricia Prado</t>
        </is>
      </c>
      <c r="K467" s="13" t="inlineStr">
        <is>
          <t>A03</t>
        </is>
      </c>
      <c r="L467" s="13">
        <f>IF(H467=0, "Correto", "Divergente")</f>
        <v/>
      </c>
    </row>
    <row r="468">
      <c r="A468" s="2" t="n">
        <v>467</v>
      </c>
      <c r="B468" s="2" t="n">
        <v>187</v>
      </c>
      <c r="C468" s="3" t="inlineStr">
        <is>
          <t>Smartphone Empresarial 128GB (Modelo 8)</t>
        </is>
      </c>
      <c r="D468" s="3" t="inlineStr">
        <is>
          <t>Smartphones</t>
        </is>
      </c>
      <c r="E468" s="4" t="inlineStr">
        <is>
          <t>2026-04-30</t>
        </is>
      </c>
      <c r="F468" s="5" t="n">
        <v>331</v>
      </c>
      <c r="G468" s="5" t="n">
        <v>331</v>
      </c>
      <c r="H468" s="5">
        <f>G468-F468</f>
        <v/>
      </c>
      <c r="I468" s="6">
        <f>H468/F468</f>
        <v/>
      </c>
      <c r="J468" s="3" t="inlineStr">
        <is>
          <t>Mariana Alcantara</t>
        </is>
      </c>
      <c r="K468" s="7" t="inlineStr">
        <is>
          <t>A03</t>
        </is>
      </c>
      <c r="L468" s="7">
        <f>IF(H468=0, "Correto", "Divergente")</f>
        <v/>
      </c>
    </row>
    <row r="469">
      <c r="A469" s="8" t="n">
        <v>468</v>
      </c>
      <c r="B469" s="8" t="n">
        <v>16</v>
      </c>
      <c r="C469" s="9" t="inlineStr">
        <is>
          <t>HD Externo Portátil 2TB (Modelo 2)</t>
        </is>
      </c>
      <c r="D469" s="9" t="inlineStr">
        <is>
          <t>Armazenamento</t>
        </is>
      </c>
      <c r="E469" s="10" t="inlineStr">
        <is>
          <t>2024-12-25</t>
        </is>
      </c>
      <c r="F469" s="11" t="n">
        <v>3186</v>
      </c>
      <c r="G469" s="11" t="n">
        <v>3186</v>
      </c>
      <c r="H469" s="11">
        <f>G469-F469</f>
        <v/>
      </c>
      <c r="I469" s="12">
        <f>H469/F469</f>
        <v/>
      </c>
      <c r="J469" s="9" t="inlineStr">
        <is>
          <t>Roberto Fernandes</t>
        </is>
      </c>
      <c r="K469" s="13" t="inlineStr">
        <is>
          <t>C02</t>
        </is>
      </c>
      <c r="L469" s="13">
        <f>IF(H469=0, "Correto", "Divergente")</f>
        <v/>
      </c>
    </row>
    <row r="470">
      <c r="A470" s="2" t="n">
        <v>469</v>
      </c>
      <c r="B470" s="2" t="n">
        <v>153</v>
      </c>
      <c r="C470" s="3" t="inlineStr">
        <is>
          <t>Monitor 27" Curvo 144Hz (Modelo 4)</t>
        </is>
      </c>
      <c r="D470" s="3" t="inlineStr">
        <is>
          <t>Monitores</t>
        </is>
      </c>
      <c r="E470" s="4" t="inlineStr">
        <is>
          <t>2026-08-04</t>
        </is>
      </c>
      <c r="F470" s="5" t="n">
        <v>1706</v>
      </c>
      <c r="G470" s="5" t="n">
        <v>1706</v>
      </c>
      <c r="H470" s="5">
        <f>G470-F470</f>
        <v/>
      </c>
      <c r="I470" s="6">
        <f>H470/F470</f>
        <v/>
      </c>
      <c r="J470" s="3" t="inlineStr">
        <is>
          <t>Gustavo Silveira</t>
        </is>
      </c>
      <c r="K470" s="7" t="inlineStr">
        <is>
          <t>C01</t>
        </is>
      </c>
      <c r="L470" s="7">
        <f>IF(H470=0, "Correto", "Divergente")</f>
        <v/>
      </c>
    </row>
    <row r="471">
      <c r="A471" s="8" t="n">
        <v>470</v>
      </c>
      <c r="B471" s="8" t="n">
        <v>110</v>
      </c>
      <c r="C471" s="9" t="inlineStr">
        <is>
          <t>Memória RAM DDR4 16GB 3200MHz (Modelo 6)</t>
        </is>
      </c>
      <c r="D471" s="9" t="inlineStr">
        <is>
          <t>Componentes</t>
        </is>
      </c>
      <c r="E471" s="10" t="inlineStr">
        <is>
          <t>2026-09-12</t>
        </is>
      </c>
      <c r="F471" s="11" t="n">
        <v>595</v>
      </c>
      <c r="G471" s="11" t="n">
        <v>657</v>
      </c>
      <c r="H471" s="11">
        <f>G471-F471</f>
        <v/>
      </c>
      <c r="I471" s="12">
        <f>H471/F471</f>
        <v/>
      </c>
      <c r="J471" s="9" t="inlineStr">
        <is>
          <t>Patricia Prado</t>
        </is>
      </c>
      <c r="K471" s="13" t="inlineStr">
        <is>
          <t>B01</t>
        </is>
      </c>
      <c r="L471" s="13">
        <f>IF(H471=0, "Correto", "Divergente")</f>
        <v/>
      </c>
    </row>
    <row r="472">
      <c r="A472" s="2" t="n">
        <v>471</v>
      </c>
      <c r="B472" s="2" t="n">
        <v>19</v>
      </c>
      <c r="C472" s="3" t="inlineStr">
        <is>
          <t>Hub USB-C 7 em 1 (Modelo 5)</t>
        </is>
      </c>
      <c r="D472" s="3" t="inlineStr">
        <is>
          <t>Acessórios</t>
        </is>
      </c>
      <c r="E472" s="4" t="inlineStr">
        <is>
          <t>2026-05-29</t>
        </is>
      </c>
      <c r="F472" s="5" t="n">
        <v>2231</v>
      </c>
      <c r="G472" s="5" t="n">
        <v>2231</v>
      </c>
      <c r="H472" s="5">
        <f>G472-F472</f>
        <v/>
      </c>
      <c r="I472" s="6">
        <f>H472/F472</f>
        <v/>
      </c>
      <c r="J472" s="3" t="inlineStr">
        <is>
          <t>Mariana Alcantara</t>
        </is>
      </c>
      <c r="K472" s="7" t="inlineStr">
        <is>
          <t>Depósito Externo</t>
        </is>
      </c>
      <c r="L472" s="7">
        <f>IF(H472=0, "Correto", "Divergente")</f>
        <v/>
      </c>
    </row>
    <row r="473">
      <c r="A473" s="8" t="n">
        <v>472</v>
      </c>
      <c r="B473" s="8" t="n">
        <v>132</v>
      </c>
      <c r="C473" s="9" t="inlineStr">
        <is>
          <t>Webcam Full HD 1080p (Modelo 13)</t>
        </is>
      </c>
      <c r="D473" s="9" t="inlineStr">
        <is>
          <t>Periféricos</t>
        </is>
      </c>
      <c r="E473" s="10" t="inlineStr">
        <is>
          <t>2025-07-25</t>
        </is>
      </c>
      <c r="F473" s="11" t="n">
        <v>256</v>
      </c>
      <c r="G473" s="11" t="n">
        <v>256</v>
      </c>
      <c r="H473" s="11">
        <f>G473-F473</f>
        <v/>
      </c>
      <c r="I473" s="12">
        <f>H473/F473</f>
        <v/>
      </c>
      <c r="J473" s="9" t="inlineStr">
        <is>
          <t>Camila Azevedo</t>
        </is>
      </c>
      <c r="K473" s="13" t="inlineStr">
        <is>
          <t>B01</t>
        </is>
      </c>
      <c r="L473" s="13">
        <f>IF(H473=0, "Correto", "Divergente")</f>
        <v/>
      </c>
    </row>
    <row r="474">
      <c r="A474" s="2" t="n">
        <v>473</v>
      </c>
      <c r="B474" s="2" t="n">
        <v>191</v>
      </c>
      <c r="C474" s="3" t="inlineStr">
        <is>
          <t>Chromebook 11.6" (Modelo 12)</t>
        </is>
      </c>
      <c r="D474" s="3" t="inlineStr">
        <is>
          <t>Informática</t>
        </is>
      </c>
      <c r="E474" s="4" t="inlineStr">
        <is>
          <t>2026-08-22</t>
        </is>
      </c>
      <c r="F474" s="5" t="n">
        <v>4637</v>
      </c>
      <c r="G474" s="5" t="n">
        <v>4637</v>
      </c>
      <c r="H474" s="5">
        <f>G474-F474</f>
        <v/>
      </c>
      <c r="I474" s="6">
        <f>H474/F474</f>
        <v/>
      </c>
      <c r="J474" s="3" t="inlineStr">
        <is>
          <t>Patricia Prado</t>
        </is>
      </c>
      <c r="K474" s="7" t="inlineStr">
        <is>
          <t>B02</t>
        </is>
      </c>
      <c r="L474" s="7">
        <f>IF(H474=0, "Correto", "Divergente")</f>
        <v/>
      </c>
    </row>
    <row r="475">
      <c r="A475" s="8" t="n">
        <v>474</v>
      </c>
      <c r="B475" s="8" t="n">
        <v>157</v>
      </c>
      <c r="C475" s="9" t="inlineStr">
        <is>
          <t>Smartphone Empresarial 128GB (Modelo 8)</t>
        </is>
      </c>
      <c r="D475" s="9" t="inlineStr">
        <is>
          <t>Smartphones</t>
        </is>
      </c>
      <c r="E475" s="10" t="inlineStr">
        <is>
          <t>2026-02-07</t>
        </is>
      </c>
      <c r="F475" s="11" t="n">
        <v>1318</v>
      </c>
      <c r="G475" s="11" t="n">
        <v>1318</v>
      </c>
      <c r="H475" s="11">
        <f>G475-F475</f>
        <v/>
      </c>
      <c r="I475" s="12">
        <f>H475/F475</f>
        <v/>
      </c>
      <c r="J475" s="9" t="inlineStr">
        <is>
          <t>Beatriz Castilho</t>
        </is>
      </c>
      <c r="K475" s="13" t="inlineStr">
        <is>
          <t>Depósito Externo</t>
        </is>
      </c>
      <c r="L475" s="13">
        <f>IF(H475=0, "Correto", "Divergente")</f>
        <v/>
      </c>
    </row>
    <row r="476">
      <c r="A476" s="2" t="n">
        <v>475</v>
      </c>
      <c r="B476" s="2" t="n">
        <v>3</v>
      </c>
      <c r="C476" s="3" t="inlineStr">
        <is>
          <t>Monitor 27" Curvo 144Hz (Modelo 4)</t>
        </is>
      </c>
      <c r="D476" s="3" t="inlineStr">
        <is>
          <t>Monitores</t>
        </is>
      </c>
      <c r="E476" s="4" t="inlineStr">
        <is>
          <t>2024-04-02</t>
        </is>
      </c>
      <c r="F476" s="5" t="n">
        <v>2079</v>
      </c>
      <c r="G476" s="5" t="n">
        <v>2079</v>
      </c>
      <c r="H476" s="5">
        <f>G476-F476</f>
        <v/>
      </c>
      <c r="I476" s="6">
        <f>H476/F476</f>
        <v/>
      </c>
      <c r="J476" s="3" t="inlineStr">
        <is>
          <t>Marcelo Fontes</t>
        </is>
      </c>
      <c r="K476" s="7" t="inlineStr">
        <is>
          <t>B02</t>
        </is>
      </c>
      <c r="L476" s="7">
        <f>IF(H476=0, "Correto", "Divergente")</f>
        <v/>
      </c>
    </row>
    <row r="477">
      <c r="A477" s="8" t="n">
        <v>476</v>
      </c>
      <c r="B477" s="8" t="n">
        <v>166</v>
      </c>
      <c r="C477" s="9" t="inlineStr">
        <is>
          <t>HD Externo Portátil 2TB (Modelo 2)</t>
        </is>
      </c>
      <c r="D477" s="9" t="inlineStr">
        <is>
          <t>Armazenamento</t>
        </is>
      </c>
      <c r="E477" s="10" t="inlineStr">
        <is>
          <t>2024-03-02</t>
        </is>
      </c>
      <c r="F477" s="11" t="n">
        <v>4072</v>
      </c>
      <c r="G477" s="11" t="n">
        <v>3951</v>
      </c>
      <c r="H477" s="11">
        <f>G477-F477</f>
        <v/>
      </c>
      <c r="I477" s="12">
        <f>H477/F477</f>
        <v/>
      </c>
      <c r="J477" s="9" t="inlineStr">
        <is>
          <t>Gustavo Silveira</t>
        </is>
      </c>
      <c r="K477" s="13" t="inlineStr">
        <is>
          <t>Depósito Externo</t>
        </is>
      </c>
      <c r="L477" s="13">
        <f>IF(H477=0, "Correto", "Divergente")</f>
        <v/>
      </c>
    </row>
    <row r="478">
      <c r="A478" s="2" t="n">
        <v>477</v>
      </c>
      <c r="B478" s="2" t="n">
        <v>89</v>
      </c>
      <c r="C478" s="3" t="inlineStr">
        <is>
          <t>Hub USB-C 7 em 1 (Modelo 15)</t>
        </is>
      </c>
      <c r="D478" s="3" t="inlineStr">
        <is>
          <t>Acessórios</t>
        </is>
      </c>
      <c r="E478" s="4" t="inlineStr">
        <is>
          <t>2026-01-04</t>
        </is>
      </c>
      <c r="F478" s="5" t="n">
        <v>294</v>
      </c>
      <c r="G478" s="5" t="n">
        <v>294</v>
      </c>
      <c r="H478" s="5">
        <f>G478-F478</f>
        <v/>
      </c>
      <c r="I478" s="6">
        <f>H478/F478</f>
        <v/>
      </c>
      <c r="J478" s="3" t="inlineStr">
        <is>
          <t>Camila Azevedo</t>
        </is>
      </c>
      <c r="K478" s="7" t="inlineStr">
        <is>
          <t>C02</t>
        </is>
      </c>
      <c r="L478" s="7">
        <f>IF(H478=0, "Correto", "Divergente")</f>
        <v/>
      </c>
    </row>
    <row r="479">
      <c r="A479" s="8" t="n">
        <v>478</v>
      </c>
      <c r="B479" s="8" t="n">
        <v>65</v>
      </c>
      <c r="C479" s="9" t="inlineStr">
        <is>
          <t>Caixa de Som Bluetooth Portátil (Modelo 6)</t>
        </is>
      </c>
      <c r="D479" s="9" t="inlineStr">
        <is>
          <t>Áudio</t>
        </is>
      </c>
      <c r="E479" s="10" t="inlineStr">
        <is>
          <t>2025-08-31</t>
        </is>
      </c>
      <c r="F479" s="11" t="n">
        <v>119</v>
      </c>
      <c r="G479" s="11" t="n">
        <v>124</v>
      </c>
      <c r="H479" s="11">
        <f>G479-F479</f>
        <v/>
      </c>
      <c r="I479" s="12">
        <f>H479/F479</f>
        <v/>
      </c>
      <c r="J479" s="9" t="inlineStr">
        <is>
          <t>Roberto Fernandes</t>
        </is>
      </c>
      <c r="K479" s="13" t="inlineStr">
        <is>
          <t>A02</t>
        </is>
      </c>
      <c r="L479" s="13">
        <f>IF(H479=0, "Correto", "Divergente")</f>
        <v/>
      </c>
    </row>
    <row r="480">
      <c r="A480" s="2" t="n">
        <v>479</v>
      </c>
      <c r="B480" s="2" t="n">
        <v>146</v>
      </c>
      <c r="C480" s="3" t="inlineStr">
        <is>
          <t>SSD NVMe 1TB M.2 (Modelo 12)</t>
        </is>
      </c>
      <c r="D480" s="3" t="inlineStr">
        <is>
          <t>Armazenamento</t>
        </is>
      </c>
      <c r="E480" s="4" t="inlineStr">
        <is>
          <t>2026-05-17</t>
        </is>
      </c>
      <c r="F480" s="5" t="n">
        <v>384</v>
      </c>
      <c r="G480" s="5" t="n">
        <v>384</v>
      </c>
      <c r="H480" s="5">
        <f>G480-F480</f>
        <v/>
      </c>
      <c r="I480" s="6">
        <f>H480/F480</f>
        <v/>
      </c>
      <c r="J480" s="3" t="inlineStr">
        <is>
          <t>Fernanda Vasconcelos</t>
        </is>
      </c>
      <c r="K480" s="7" t="inlineStr">
        <is>
          <t>C03</t>
        </is>
      </c>
      <c r="L480" s="7">
        <f>IF(H480=0, "Correto", "Divergente")</f>
        <v/>
      </c>
    </row>
    <row r="481">
      <c r="A481" s="8" t="n">
        <v>480</v>
      </c>
      <c r="B481" s="8" t="n">
        <v>109</v>
      </c>
      <c r="C481" s="9" t="inlineStr">
        <is>
          <t>Nobreak 1200VA Bivolt (Modelo 5)</t>
        </is>
      </c>
      <c r="D481" s="9" t="inlineStr">
        <is>
          <t>Acessórios</t>
        </is>
      </c>
      <c r="E481" s="10" t="inlineStr">
        <is>
          <t>2025-10-05</t>
        </is>
      </c>
      <c r="F481" s="11" t="n">
        <v>1766</v>
      </c>
      <c r="G481" s="11" t="n">
        <v>1766</v>
      </c>
      <c r="H481" s="11">
        <f>G481-F481</f>
        <v/>
      </c>
      <c r="I481" s="12">
        <f>H481/F481</f>
        <v/>
      </c>
      <c r="J481" s="9" t="inlineStr">
        <is>
          <t>Camila Azevedo</t>
        </is>
      </c>
      <c r="K481" s="13" t="inlineStr">
        <is>
          <t>A01</t>
        </is>
      </c>
      <c r="L481" s="13">
        <f>IF(H481=0, "Correto", "Divergente")</f>
        <v/>
      </c>
    </row>
    <row r="482">
      <c r="A482" s="2" t="n">
        <v>481</v>
      </c>
      <c r="B482" s="2" t="n">
        <v>75</v>
      </c>
      <c r="C482" s="3" t="inlineStr">
        <is>
          <t>Caixa de Som USB 10W (Modelo 1)</t>
        </is>
      </c>
      <c r="D482" s="3" t="inlineStr">
        <is>
          <t>Áudio</t>
        </is>
      </c>
      <c r="E482" s="4" t="inlineStr">
        <is>
          <t>2026-08-22</t>
        </is>
      </c>
      <c r="F482" s="5" t="n">
        <v>390</v>
      </c>
      <c r="G482" s="5" t="n">
        <v>390</v>
      </c>
      <c r="H482" s="5">
        <f>G482-F482</f>
        <v/>
      </c>
      <c r="I482" s="6">
        <f>H482/F482</f>
        <v/>
      </c>
      <c r="J482" s="3" t="inlineStr">
        <is>
          <t>Patricia Prado</t>
        </is>
      </c>
      <c r="K482" s="7" t="inlineStr">
        <is>
          <t>C01</t>
        </is>
      </c>
      <c r="L482" s="7">
        <f>IF(H482=0, "Correto", "Divergente")</f>
        <v/>
      </c>
    </row>
    <row r="483">
      <c r="A483" s="8" t="n">
        <v>482</v>
      </c>
      <c r="B483" s="8" t="n">
        <v>23</v>
      </c>
      <c r="C483" s="9" t="inlineStr">
        <is>
          <t>Monitor 4K 32" Profissional (Modelo 9)</t>
        </is>
      </c>
      <c r="D483" s="9" t="inlineStr">
        <is>
          <t>Monitores</t>
        </is>
      </c>
      <c r="E483" s="10" t="inlineStr">
        <is>
          <t>2025-04-26</t>
        </is>
      </c>
      <c r="F483" s="11" t="n">
        <v>3939</v>
      </c>
      <c r="G483" s="11" t="n">
        <v>3939</v>
      </c>
      <c r="H483" s="11">
        <f>G483-F483</f>
        <v/>
      </c>
      <c r="I483" s="12">
        <f>H483/F483</f>
        <v/>
      </c>
      <c r="J483" s="9" t="inlineStr">
        <is>
          <t>Ricardo Mendes</t>
        </is>
      </c>
      <c r="K483" s="13" t="inlineStr">
        <is>
          <t>Depósito Externo</t>
        </is>
      </c>
      <c r="L483" s="13">
        <f>IF(H483=0, "Correto", "Divergente")</f>
        <v/>
      </c>
    </row>
    <row r="484">
      <c r="A484" s="2" t="n">
        <v>483</v>
      </c>
      <c r="B484" s="2" t="n">
        <v>172</v>
      </c>
      <c r="C484" s="3" t="inlineStr">
        <is>
          <t>Mouse Sem Fio Bluetooth (Modelo 8)</t>
        </is>
      </c>
      <c r="D484" s="3" t="inlineStr">
        <is>
          <t>Periféricos</t>
        </is>
      </c>
      <c r="E484" s="4" t="inlineStr">
        <is>
          <t>2026-09-26</t>
        </is>
      </c>
      <c r="F484" s="5" t="n">
        <v>4842</v>
      </c>
      <c r="G484" s="5" t="n">
        <v>4842</v>
      </c>
      <c r="H484" s="5">
        <f>G484-F484</f>
        <v/>
      </c>
      <c r="I484" s="6">
        <f>H484/F484</f>
        <v/>
      </c>
      <c r="J484" s="3" t="inlineStr">
        <is>
          <t>Roberto Fernandes</t>
        </is>
      </c>
      <c r="K484" s="7" t="inlineStr">
        <is>
          <t>A03</t>
        </is>
      </c>
      <c r="L484" s="7">
        <f>IF(H484=0, "Correto", "Divergente")</f>
        <v/>
      </c>
    </row>
    <row r="485">
      <c r="A485" s="8" t="n">
        <v>484</v>
      </c>
      <c r="B485" s="8" t="n">
        <v>100</v>
      </c>
      <c r="C485" s="9" t="inlineStr">
        <is>
          <t>Fonte Atx 500W 80 Plus (Modelo 11)</t>
        </is>
      </c>
      <c r="D485" s="9" t="inlineStr">
        <is>
          <t>Componentes</t>
        </is>
      </c>
      <c r="E485" s="10" t="inlineStr">
        <is>
          <t>2025-01-04</t>
        </is>
      </c>
      <c r="F485" s="11" t="n">
        <v>2355</v>
      </c>
      <c r="G485" s="11" t="n">
        <v>2355</v>
      </c>
      <c r="H485" s="11">
        <f>G485-F485</f>
        <v/>
      </c>
      <c r="I485" s="12">
        <f>H485/F485</f>
        <v/>
      </c>
      <c r="J485" s="9" t="inlineStr">
        <is>
          <t>Mariana Alcantara</t>
        </is>
      </c>
      <c r="K485" s="13" t="inlineStr">
        <is>
          <t>C02</t>
        </is>
      </c>
      <c r="L485" s="13">
        <f>IF(H485=0, "Correto", "Divergente")</f>
        <v/>
      </c>
    </row>
    <row r="486">
      <c r="A486" s="2" t="n">
        <v>485</v>
      </c>
      <c r="B486" s="2" t="n">
        <v>166</v>
      </c>
      <c r="C486" s="3" t="inlineStr">
        <is>
          <t>HD Externo Portátil 2TB (Modelo 2)</t>
        </is>
      </c>
      <c r="D486" s="3" t="inlineStr">
        <is>
          <t>Armazenamento</t>
        </is>
      </c>
      <c r="E486" s="4" t="inlineStr">
        <is>
          <t>2024-02-25</t>
        </is>
      </c>
      <c r="F486" s="5" t="n">
        <v>3703</v>
      </c>
      <c r="G486" s="5" t="n">
        <v>3703</v>
      </c>
      <c r="H486" s="5">
        <f>G486-F486</f>
        <v/>
      </c>
      <c r="I486" s="6">
        <f>H486/F486</f>
        <v/>
      </c>
      <c r="J486" s="3" t="inlineStr">
        <is>
          <t>Marcelo Fontes</t>
        </is>
      </c>
      <c r="K486" s="7" t="inlineStr">
        <is>
          <t>C02</t>
        </is>
      </c>
      <c r="L486" s="7">
        <f>IF(H486=0, "Correto", "Divergente")</f>
        <v/>
      </c>
    </row>
    <row r="487">
      <c r="A487" s="8" t="n">
        <v>486</v>
      </c>
      <c r="B487" s="8" t="n">
        <v>77</v>
      </c>
      <c r="C487" s="9" t="inlineStr">
        <is>
          <t>Capa Protetora para Tablet (Modelo 3)</t>
        </is>
      </c>
      <c r="D487" s="9" t="inlineStr">
        <is>
          <t>Smartphones</t>
        </is>
      </c>
      <c r="E487" s="10" t="inlineStr">
        <is>
          <t>2025-11-23</t>
        </is>
      </c>
      <c r="F487" s="11" t="n">
        <v>2160</v>
      </c>
      <c r="G487" s="11" t="n">
        <v>2160</v>
      </c>
      <c r="H487" s="11">
        <f>G487-F487</f>
        <v/>
      </c>
      <c r="I487" s="12">
        <f>H487/F487</f>
        <v/>
      </c>
      <c r="J487" s="9" t="inlineStr">
        <is>
          <t>Roberto Fernandes</t>
        </is>
      </c>
      <c r="K487" s="13" t="inlineStr">
        <is>
          <t>C03</t>
        </is>
      </c>
      <c r="L487" s="13">
        <f>IF(H487=0, "Correto", "Divergente")</f>
        <v/>
      </c>
    </row>
    <row r="488">
      <c r="A488" s="2" t="n">
        <v>487</v>
      </c>
      <c r="B488" s="2" t="n">
        <v>170</v>
      </c>
      <c r="C488" s="3" t="inlineStr">
        <is>
          <t>Memória RAM DDR4 16GB 3200MHz (Modelo 6)</t>
        </is>
      </c>
      <c r="D488" s="3" t="inlineStr">
        <is>
          <t>Componentes</t>
        </is>
      </c>
      <c r="E488" s="4" t="inlineStr">
        <is>
          <t>2025-06-20</t>
        </is>
      </c>
      <c r="F488" s="5" t="n">
        <v>2642</v>
      </c>
      <c r="G488" s="5" t="n">
        <v>2642</v>
      </c>
      <c r="H488" s="5">
        <f>G488-F488</f>
        <v/>
      </c>
      <c r="I488" s="6">
        <f>H488/F488</f>
        <v/>
      </c>
      <c r="J488" s="3" t="inlineStr">
        <is>
          <t>Roberto Fernandes</t>
        </is>
      </c>
      <c r="K488" s="7" t="inlineStr">
        <is>
          <t>B03</t>
        </is>
      </c>
      <c r="L488" s="7">
        <f>IF(H488=0, "Correto", "Divergente")</f>
        <v/>
      </c>
    </row>
    <row r="489">
      <c r="A489" s="8" t="n">
        <v>488</v>
      </c>
      <c r="B489" s="8" t="n">
        <v>7</v>
      </c>
      <c r="C489" s="9" t="inlineStr">
        <is>
          <t>Smartphone Empresarial 128GB (Modelo 8)</t>
        </is>
      </c>
      <c r="D489" s="9" t="inlineStr">
        <is>
          <t>Smartphones</t>
        </is>
      </c>
      <c r="E489" s="10" t="inlineStr">
        <is>
          <t>2025-06-10</t>
        </is>
      </c>
      <c r="F489" s="11" t="n">
        <v>1901</v>
      </c>
      <c r="G489" s="11" t="n">
        <v>1827</v>
      </c>
      <c r="H489" s="11">
        <f>G489-F489</f>
        <v/>
      </c>
      <c r="I489" s="12">
        <f>H489/F489</f>
        <v/>
      </c>
      <c r="J489" s="9" t="inlineStr">
        <is>
          <t>Camila Azevedo</t>
        </is>
      </c>
      <c r="K489" s="13" t="inlineStr">
        <is>
          <t>C02</t>
        </is>
      </c>
      <c r="L489" s="13">
        <f>IF(H489=0, "Correto", "Divergente")</f>
        <v/>
      </c>
    </row>
    <row r="490">
      <c r="A490" s="2" t="n">
        <v>489</v>
      </c>
      <c r="B490" s="2" t="n">
        <v>109</v>
      </c>
      <c r="C490" s="3" t="inlineStr">
        <is>
          <t>Nobreak 1200VA Bivolt (Modelo 5)</t>
        </is>
      </c>
      <c r="D490" s="3" t="inlineStr">
        <is>
          <t>Acessórios</t>
        </is>
      </c>
      <c r="E490" s="4" t="inlineStr">
        <is>
          <t>2024-03-30</t>
        </is>
      </c>
      <c r="F490" s="5" t="n">
        <v>2221</v>
      </c>
      <c r="G490" s="5" t="n">
        <v>2221</v>
      </c>
      <c r="H490" s="5">
        <f>G490-F490</f>
        <v/>
      </c>
      <c r="I490" s="6">
        <f>H490/F490</f>
        <v/>
      </c>
      <c r="J490" s="3" t="inlineStr">
        <is>
          <t>Fernanda Vasconcelos</t>
        </is>
      </c>
      <c r="K490" s="7" t="inlineStr">
        <is>
          <t>C03</t>
        </is>
      </c>
      <c r="L490" s="7">
        <f>IF(H490=0, "Correto", "Divergente")</f>
        <v/>
      </c>
    </row>
    <row r="491">
      <c r="A491" s="8" t="n">
        <v>490</v>
      </c>
      <c r="B491" s="8" t="n">
        <v>23</v>
      </c>
      <c r="C491" s="9" t="inlineStr">
        <is>
          <t>Monitor 4K 32" Profissional (Modelo 9)</t>
        </is>
      </c>
      <c r="D491" s="9" t="inlineStr">
        <is>
          <t>Monitores</t>
        </is>
      </c>
      <c r="E491" s="10" t="inlineStr">
        <is>
          <t>2026-06-26</t>
        </is>
      </c>
      <c r="F491" s="11" t="n">
        <v>1279</v>
      </c>
      <c r="G491" s="11" t="n">
        <v>1267</v>
      </c>
      <c r="H491" s="11">
        <f>G491-F491</f>
        <v/>
      </c>
      <c r="I491" s="12">
        <f>H491/F491</f>
        <v/>
      </c>
      <c r="J491" s="9" t="inlineStr">
        <is>
          <t>Marcelo Fontes</t>
        </is>
      </c>
      <c r="K491" s="13" t="inlineStr">
        <is>
          <t>B01</t>
        </is>
      </c>
      <c r="L491" s="13">
        <f>IF(H491=0, "Correto", "Divergente")</f>
        <v/>
      </c>
    </row>
    <row r="492">
      <c r="A492" s="2" t="n">
        <v>491</v>
      </c>
      <c r="B492" s="2" t="n">
        <v>154</v>
      </c>
      <c r="C492" s="3" t="inlineStr">
        <is>
          <t>Toner HP Preto Original (Modelo 5)</t>
        </is>
      </c>
      <c r="D492" s="3" t="inlineStr">
        <is>
          <t>Impressão</t>
        </is>
      </c>
      <c r="E492" s="4" t="inlineStr">
        <is>
          <t>2025-11-24</t>
        </is>
      </c>
      <c r="F492" s="5" t="n">
        <v>3156</v>
      </c>
      <c r="G492" s="5" t="n">
        <v>3156</v>
      </c>
      <c r="H492" s="5">
        <f>G492-F492</f>
        <v/>
      </c>
      <c r="I492" s="6">
        <f>H492/F492</f>
        <v/>
      </c>
      <c r="J492" s="3" t="inlineStr">
        <is>
          <t>Mariana Alcantara</t>
        </is>
      </c>
      <c r="K492" s="7" t="inlineStr">
        <is>
          <t>C01</t>
        </is>
      </c>
      <c r="L492" s="7">
        <f>IF(H492=0, "Correto", "Divergente")</f>
        <v/>
      </c>
    </row>
    <row r="493">
      <c r="A493" s="8" t="n">
        <v>492</v>
      </c>
      <c r="B493" s="8" t="n">
        <v>46</v>
      </c>
      <c r="C493" s="9" t="inlineStr">
        <is>
          <t>HD Externo Portátil 2TB (Modelo 2)</t>
        </is>
      </c>
      <c r="D493" s="9" t="inlineStr">
        <is>
          <t>Armazenamento</t>
        </is>
      </c>
      <c r="E493" s="10" t="inlineStr">
        <is>
          <t>2024-06-07</t>
        </is>
      </c>
      <c r="F493" s="11" t="n">
        <v>131</v>
      </c>
      <c r="G493" s="11" t="n">
        <v>131</v>
      </c>
      <c r="H493" s="11">
        <f>G493-F493</f>
        <v/>
      </c>
      <c r="I493" s="12">
        <f>H493/F493</f>
        <v/>
      </c>
      <c r="J493" s="9" t="inlineStr">
        <is>
          <t>Mariana Alcantara</t>
        </is>
      </c>
      <c r="K493" s="13" t="inlineStr">
        <is>
          <t>A01</t>
        </is>
      </c>
      <c r="L493" s="13">
        <f>IF(H493=0, "Correto", "Divergente")</f>
        <v/>
      </c>
    </row>
    <row r="494">
      <c r="A494" s="2" t="n">
        <v>493</v>
      </c>
      <c r="B494" s="2" t="n">
        <v>61</v>
      </c>
      <c r="C494" s="3" t="inlineStr">
        <is>
          <t>Mini PC Ryzen 5 (Modelo 2)</t>
        </is>
      </c>
      <c r="D494" s="3" t="inlineStr">
        <is>
          <t>Informática</t>
        </is>
      </c>
      <c r="E494" s="4" t="inlineStr">
        <is>
          <t>2025-10-27</t>
        </is>
      </c>
      <c r="F494" s="5" t="n">
        <v>1521</v>
      </c>
      <c r="G494" s="5" t="n">
        <v>1521</v>
      </c>
      <c r="H494" s="5">
        <f>G494-F494</f>
        <v/>
      </c>
      <c r="I494" s="6">
        <f>H494/F494</f>
        <v/>
      </c>
      <c r="J494" s="3" t="inlineStr">
        <is>
          <t>Marcelo Fontes</t>
        </is>
      </c>
      <c r="K494" s="7" t="inlineStr">
        <is>
          <t>C02</t>
        </is>
      </c>
      <c r="L494" s="7">
        <f>IF(H494=0, "Correto", "Divergente")</f>
        <v/>
      </c>
    </row>
    <row r="495">
      <c r="A495" s="8" t="n">
        <v>494</v>
      </c>
      <c r="B495" s="8" t="n">
        <v>94</v>
      </c>
      <c r="C495" s="9" t="inlineStr">
        <is>
          <t>Toner HP Preto Original (Modelo 5)</t>
        </is>
      </c>
      <c r="D495" s="9" t="inlineStr">
        <is>
          <t>Impressão</t>
        </is>
      </c>
      <c r="E495" s="10" t="inlineStr">
        <is>
          <t>2025-02-17</t>
        </is>
      </c>
      <c r="F495" s="11" t="n">
        <v>306</v>
      </c>
      <c r="G495" s="11" t="n">
        <v>306</v>
      </c>
      <c r="H495" s="11">
        <f>G495-F495</f>
        <v/>
      </c>
      <c r="I495" s="12">
        <f>H495/F495</f>
        <v/>
      </c>
      <c r="J495" s="9" t="inlineStr">
        <is>
          <t>Carlos Eduardo Rocha</t>
        </is>
      </c>
      <c r="K495" s="13" t="inlineStr">
        <is>
          <t>A03</t>
        </is>
      </c>
      <c r="L495" s="13">
        <f>IF(H495=0, "Correto", "Divergente")</f>
        <v/>
      </c>
    </row>
    <row r="496">
      <c r="A496" s="2" t="n">
        <v>495</v>
      </c>
      <c r="B496" s="2" t="n">
        <v>180</v>
      </c>
      <c r="C496" s="3" t="inlineStr">
        <is>
          <t>Cooler para Processador 120mm (Modelo 1)</t>
        </is>
      </c>
      <c r="D496" s="3" t="inlineStr">
        <is>
          <t>Componentes</t>
        </is>
      </c>
      <c r="E496" s="4" t="inlineStr">
        <is>
          <t>2026-10-02</t>
        </is>
      </c>
      <c r="F496" s="5" t="n">
        <v>3718</v>
      </c>
      <c r="G496" s="5" t="n">
        <v>3922</v>
      </c>
      <c r="H496" s="5">
        <f>G496-F496</f>
        <v/>
      </c>
      <c r="I496" s="6">
        <f>H496/F496</f>
        <v/>
      </c>
      <c r="J496" s="3" t="inlineStr">
        <is>
          <t>Patricia Prado</t>
        </is>
      </c>
      <c r="K496" s="7" t="inlineStr">
        <is>
          <t>B02</t>
        </is>
      </c>
      <c r="L496" s="7">
        <f>IF(H496=0, "Correto", "Divergente")</f>
        <v/>
      </c>
    </row>
    <row r="497">
      <c r="A497" s="8" t="n">
        <v>496</v>
      </c>
      <c r="B497" s="8" t="n">
        <v>130</v>
      </c>
      <c r="C497" s="9" t="inlineStr">
        <is>
          <t>Fonte Atx 500W 80 Plus (Modelo 11)</t>
        </is>
      </c>
      <c r="D497" s="9" t="inlineStr">
        <is>
          <t>Componentes</t>
        </is>
      </c>
      <c r="E497" s="10" t="inlineStr">
        <is>
          <t>2026-12-26</t>
        </is>
      </c>
      <c r="F497" s="11" t="n">
        <v>3968</v>
      </c>
      <c r="G497" s="11" t="n">
        <v>3968</v>
      </c>
      <c r="H497" s="11">
        <f>G497-F497</f>
        <v/>
      </c>
      <c r="I497" s="12">
        <f>H497/F497</f>
        <v/>
      </c>
      <c r="J497" s="9" t="inlineStr">
        <is>
          <t>Carlos Eduardo Rocha</t>
        </is>
      </c>
      <c r="K497" s="13" t="inlineStr">
        <is>
          <t>A02</t>
        </is>
      </c>
      <c r="L497" s="13">
        <f>IF(H497=0, "Correto", "Divergente")</f>
        <v/>
      </c>
    </row>
    <row r="498">
      <c r="A498" s="2" t="n">
        <v>497</v>
      </c>
      <c r="B498" s="2" t="n">
        <v>4</v>
      </c>
      <c r="C498" s="3" t="inlineStr">
        <is>
          <t>Toner HP Preto Original (Modelo 5)</t>
        </is>
      </c>
      <c r="D498" s="3" t="inlineStr">
        <is>
          <t>Impressão</t>
        </is>
      </c>
      <c r="E498" s="4" t="inlineStr">
        <is>
          <t>2026-10-30</t>
        </is>
      </c>
      <c r="F498" s="5" t="n">
        <v>819</v>
      </c>
      <c r="G498" s="5" t="n">
        <v>819</v>
      </c>
      <c r="H498" s="5">
        <f>G498-F498</f>
        <v/>
      </c>
      <c r="I498" s="6">
        <f>H498/F498</f>
        <v/>
      </c>
      <c r="J498" s="3" t="inlineStr">
        <is>
          <t>Fernanda Vasconcelos</t>
        </is>
      </c>
      <c r="K498" s="7" t="inlineStr">
        <is>
          <t>A03</t>
        </is>
      </c>
      <c r="L498" s="7">
        <f>IF(H498=0, "Correto", "Divergente")</f>
        <v/>
      </c>
    </row>
    <row r="499">
      <c r="A499" s="8" t="n">
        <v>498</v>
      </c>
      <c r="B499" s="8" t="n">
        <v>9</v>
      </c>
      <c r="C499" s="9" t="inlineStr">
        <is>
          <t>Cabo DisplayPort 1.4 1.8m (Modelo 10)</t>
        </is>
      </c>
      <c r="D499" s="9" t="inlineStr">
        <is>
          <t>Acessórios</t>
        </is>
      </c>
      <c r="E499" s="10" t="inlineStr">
        <is>
          <t>2025-02-24</t>
        </is>
      </c>
      <c r="F499" s="11" t="n">
        <v>491</v>
      </c>
      <c r="G499" s="11" t="n">
        <v>491</v>
      </c>
      <c r="H499" s="11">
        <f>G499-F499</f>
        <v/>
      </c>
      <c r="I499" s="12">
        <f>H499/F499</f>
        <v/>
      </c>
      <c r="J499" s="9" t="inlineStr">
        <is>
          <t>Ricardo Mendes</t>
        </is>
      </c>
      <c r="K499" s="13" t="inlineStr">
        <is>
          <t>C02</t>
        </is>
      </c>
      <c r="L499" s="13">
        <f>IF(H499=0, "Correto", "Divergente")</f>
        <v/>
      </c>
    </row>
    <row r="500">
      <c r="A500" s="2" t="n">
        <v>499</v>
      </c>
      <c r="B500" s="2" t="n">
        <v>128</v>
      </c>
      <c r="C500" s="3" t="inlineStr">
        <is>
          <t>Switch Gigabit 16 Portas (Modelo 9)</t>
        </is>
      </c>
      <c r="D500" s="3" t="inlineStr">
        <is>
          <t>Redes</t>
        </is>
      </c>
      <c r="E500" s="4" t="inlineStr">
        <is>
          <t>2024-06-15</t>
        </is>
      </c>
      <c r="F500" s="5" t="n">
        <v>1036</v>
      </c>
      <c r="G500" s="5" t="n">
        <v>1048</v>
      </c>
      <c r="H500" s="5">
        <f>G500-F500</f>
        <v/>
      </c>
      <c r="I500" s="6">
        <f>H500/F500</f>
        <v/>
      </c>
      <c r="J500" s="3" t="inlineStr">
        <is>
          <t>Gustavo Silveira</t>
        </is>
      </c>
      <c r="K500" s="7" t="inlineStr">
        <is>
          <t>A03</t>
        </is>
      </c>
      <c r="L500" s="7">
        <f>IF(H500=0, "Correto", "Divergente")</f>
        <v/>
      </c>
    </row>
    <row r="501">
      <c r="A501" s="8" t="n">
        <v>500</v>
      </c>
      <c r="B501" s="8" t="n">
        <v>137</v>
      </c>
      <c r="C501" s="9" t="inlineStr">
        <is>
          <t>Capa Protetora para Tablet (Modelo 3)</t>
        </is>
      </c>
      <c r="D501" s="9" t="inlineStr">
        <is>
          <t>Smartphones</t>
        </is>
      </c>
      <c r="E501" s="10" t="inlineStr">
        <is>
          <t>2026-09-28</t>
        </is>
      </c>
      <c r="F501" s="11" t="n">
        <v>1411</v>
      </c>
      <c r="G501" s="11" t="n">
        <v>1411</v>
      </c>
      <c r="H501" s="11">
        <f>G501-F501</f>
        <v/>
      </c>
      <c r="I501" s="12">
        <f>H501/F501</f>
        <v/>
      </c>
      <c r="J501" s="9" t="inlineStr">
        <is>
          <t>Ricardo Mendes</t>
        </is>
      </c>
      <c r="K501" s="13" t="inlineStr">
        <is>
          <t>B03</t>
        </is>
      </c>
      <c r="L501" s="13">
        <f>IF(H501=0, "Correto", "Divergente")</f>
        <v/>
      </c>
    </row>
    <row r="502">
      <c r="A502" s="2" t="n">
        <v>501</v>
      </c>
      <c r="B502" s="2" t="n">
        <v>64</v>
      </c>
      <c r="C502" s="3" t="inlineStr">
        <is>
          <t>Toner HP Preto Original (Modelo 5)</t>
        </is>
      </c>
      <c r="D502" s="3" t="inlineStr">
        <is>
          <t>Impressão</t>
        </is>
      </c>
      <c r="E502" s="4" t="inlineStr">
        <is>
          <t>2025-02-16</t>
        </is>
      </c>
      <c r="F502" s="5" t="n">
        <v>553</v>
      </c>
      <c r="G502" s="5" t="n">
        <v>553</v>
      </c>
      <c r="H502" s="5">
        <f>G502-F502</f>
        <v/>
      </c>
      <c r="I502" s="6">
        <f>H502/F502</f>
        <v/>
      </c>
      <c r="J502" s="3" t="inlineStr">
        <is>
          <t>Marcelo Fontes</t>
        </is>
      </c>
      <c r="K502" s="7" t="inlineStr">
        <is>
          <t>C03</t>
        </is>
      </c>
      <c r="L502" s="7">
        <f>IF(H502=0, "Correto", "Divergente")</f>
        <v/>
      </c>
    </row>
    <row r="503">
      <c r="A503" s="8" t="n">
        <v>502</v>
      </c>
      <c r="B503" s="8" t="n">
        <v>25</v>
      </c>
      <c r="C503" s="9" t="inlineStr">
        <is>
          <t>Headset USB com Cancelamento de Ruído (Modelo 11)</t>
        </is>
      </c>
      <c r="D503" s="9" t="inlineStr">
        <is>
          <t>Áudio</t>
        </is>
      </c>
      <c r="E503" s="10" t="inlineStr">
        <is>
          <t>2025-06-22</t>
        </is>
      </c>
      <c r="F503" s="11" t="n">
        <v>2558</v>
      </c>
      <c r="G503" s="11" t="n">
        <v>2479</v>
      </c>
      <c r="H503" s="11">
        <f>G503-F503</f>
        <v/>
      </c>
      <c r="I503" s="12">
        <f>H503/F503</f>
        <v/>
      </c>
      <c r="J503" s="9" t="inlineStr">
        <is>
          <t>Patricia Prado</t>
        </is>
      </c>
      <c r="K503" s="13" t="inlineStr">
        <is>
          <t>C01</t>
        </is>
      </c>
      <c r="L503" s="13">
        <f>IF(H503=0, "Correto", "Divergente")</f>
        <v/>
      </c>
    </row>
    <row r="504">
      <c r="A504" s="2" t="n">
        <v>503</v>
      </c>
      <c r="B504" s="2" t="n">
        <v>5</v>
      </c>
      <c r="C504" s="3" t="inlineStr">
        <is>
          <t>Caixa de Som Bluetooth Portátil (Modelo 6)</t>
        </is>
      </c>
      <c r="D504" s="3" t="inlineStr">
        <is>
          <t>Áudio</t>
        </is>
      </c>
      <c r="E504" s="4" t="inlineStr">
        <is>
          <t>2024-03-06</t>
        </is>
      </c>
      <c r="F504" s="5" t="n">
        <v>746</v>
      </c>
      <c r="G504" s="5" t="n">
        <v>656</v>
      </c>
      <c r="H504" s="5">
        <f>G504-F504</f>
        <v/>
      </c>
      <c r="I504" s="6">
        <f>H504/F504</f>
        <v/>
      </c>
      <c r="J504" s="3" t="inlineStr">
        <is>
          <t>Roberto Fernandes</t>
        </is>
      </c>
      <c r="K504" s="7" t="inlineStr">
        <is>
          <t>A01</t>
        </is>
      </c>
      <c r="L504" s="7">
        <f>IF(H504=0, "Correto", "Divergente")</f>
        <v/>
      </c>
    </row>
    <row r="505">
      <c r="A505" s="8" t="n">
        <v>504</v>
      </c>
      <c r="B505" s="8" t="n">
        <v>178</v>
      </c>
      <c r="C505" s="9" t="inlineStr">
        <is>
          <t>Access Point Wi-Fi Corporativo (Modelo 14)</t>
        </is>
      </c>
      <c r="D505" s="9" t="inlineStr">
        <is>
          <t>Redes</t>
        </is>
      </c>
      <c r="E505" s="10" t="inlineStr">
        <is>
          <t>2026-02-15</t>
        </is>
      </c>
      <c r="F505" s="11" t="n">
        <v>3142</v>
      </c>
      <c r="G505" s="11" t="n">
        <v>3043</v>
      </c>
      <c r="H505" s="11">
        <f>G505-F505</f>
        <v/>
      </c>
      <c r="I505" s="12">
        <f>H505/F505</f>
        <v/>
      </c>
      <c r="J505" s="9" t="inlineStr">
        <is>
          <t>Roberto Fernandes</t>
        </is>
      </c>
      <c r="K505" s="13" t="inlineStr">
        <is>
          <t>A01</t>
        </is>
      </c>
      <c r="L505" s="13">
        <f>IF(H505=0, "Correto", "Divergente")</f>
        <v/>
      </c>
    </row>
    <row r="506">
      <c r="A506" s="2" t="n">
        <v>505</v>
      </c>
      <c r="B506" s="2" t="n">
        <v>166</v>
      </c>
      <c r="C506" s="3" t="inlineStr">
        <is>
          <t>HD Externo Portátil 2TB (Modelo 2)</t>
        </is>
      </c>
      <c r="D506" s="3" t="inlineStr">
        <is>
          <t>Armazenamento</t>
        </is>
      </c>
      <c r="E506" s="4" t="inlineStr">
        <is>
          <t>2025-10-29</t>
        </is>
      </c>
      <c r="F506" s="5" t="n">
        <v>2747</v>
      </c>
      <c r="G506" s="5" t="n">
        <v>2983</v>
      </c>
      <c r="H506" s="5">
        <f>G506-F506</f>
        <v/>
      </c>
      <c r="I506" s="6">
        <f>H506/F506</f>
        <v/>
      </c>
      <c r="J506" s="3" t="inlineStr">
        <is>
          <t>Fernanda Vasconcelos</t>
        </is>
      </c>
      <c r="K506" s="7" t="inlineStr">
        <is>
          <t>A03</t>
        </is>
      </c>
      <c r="L506" s="7">
        <f>IF(H506=0, "Correto", "Divergente")</f>
        <v/>
      </c>
    </row>
    <row r="507">
      <c r="A507" s="8" t="n">
        <v>506</v>
      </c>
      <c r="B507" s="8" t="n">
        <v>141</v>
      </c>
      <c r="C507" s="9" t="inlineStr">
        <is>
          <t>Mini PC Ryzen 5 (Modelo 7)</t>
        </is>
      </c>
      <c r="D507" s="9" t="inlineStr">
        <is>
          <t>Informática</t>
        </is>
      </c>
      <c r="E507" s="10" t="inlineStr">
        <is>
          <t>2024-09-26</t>
        </is>
      </c>
      <c r="F507" s="11" t="n">
        <v>2710</v>
      </c>
      <c r="G507" s="11" t="n">
        <v>2325</v>
      </c>
      <c r="H507" s="11">
        <f>G507-F507</f>
        <v/>
      </c>
      <c r="I507" s="12">
        <f>H507/F507</f>
        <v/>
      </c>
      <c r="J507" s="9" t="inlineStr">
        <is>
          <t>Patricia Prado</t>
        </is>
      </c>
      <c r="K507" s="13" t="inlineStr">
        <is>
          <t>A01</t>
        </is>
      </c>
      <c r="L507" s="13">
        <f>IF(H507=0, "Correto", "Divergente")</f>
        <v/>
      </c>
    </row>
    <row r="508">
      <c r="A508" s="2" t="n">
        <v>507</v>
      </c>
      <c r="B508" s="2" t="n">
        <v>23</v>
      </c>
      <c r="C508" s="3" t="inlineStr">
        <is>
          <t>Monitor 4K 32" Profissional (Modelo 9)</t>
        </is>
      </c>
      <c r="D508" s="3" t="inlineStr">
        <is>
          <t>Monitores</t>
        </is>
      </c>
      <c r="E508" s="4" t="inlineStr">
        <is>
          <t>2025-05-29</t>
        </is>
      </c>
      <c r="F508" s="5" t="n">
        <v>3353</v>
      </c>
      <c r="G508" s="5" t="n">
        <v>3353</v>
      </c>
      <c r="H508" s="5">
        <f>G508-F508</f>
        <v/>
      </c>
      <c r="I508" s="6">
        <f>H508/F508</f>
        <v/>
      </c>
      <c r="J508" s="3" t="inlineStr">
        <is>
          <t>Gustavo Silveira</t>
        </is>
      </c>
      <c r="K508" s="7" t="inlineStr">
        <is>
          <t>A02</t>
        </is>
      </c>
      <c r="L508" s="7">
        <f>IF(H508=0, "Correto", "Divergente")</f>
        <v/>
      </c>
    </row>
    <row r="509">
      <c r="A509" s="8" t="n">
        <v>508</v>
      </c>
      <c r="B509" s="8" t="n">
        <v>33</v>
      </c>
      <c r="C509" s="9" t="inlineStr">
        <is>
          <t>Monitor 27" Curvo 144Hz (Modelo 4)</t>
        </is>
      </c>
      <c r="D509" s="9" t="inlineStr">
        <is>
          <t>Monitores</t>
        </is>
      </c>
      <c r="E509" s="10" t="inlineStr">
        <is>
          <t>2026-05-21</t>
        </is>
      </c>
      <c r="F509" s="11" t="n">
        <v>2912</v>
      </c>
      <c r="G509" s="11" t="n">
        <v>2912</v>
      </c>
      <c r="H509" s="11">
        <f>G509-F509</f>
        <v/>
      </c>
      <c r="I509" s="12">
        <f>H509/F509</f>
        <v/>
      </c>
      <c r="J509" s="9" t="inlineStr">
        <is>
          <t>Ricardo Mendes</t>
        </is>
      </c>
      <c r="K509" s="13" t="inlineStr">
        <is>
          <t>Depósito Externo</t>
        </is>
      </c>
      <c r="L509" s="13">
        <f>IF(H509=0, "Correto", "Divergente")</f>
        <v/>
      </c>
    </row>
    <row r="510">
      <c r="A510" s="2" t="n">
        <v>509</v>
      </c>
      <c r="B510" s="2" t="n">
        <v>23</v>
      </c>
      <c r="C510" s="3" t="inlineStr">
        <is>
          <t>Monitor 4K 32" Profissional (Modelo 9)</t>
        </is>
      </c>
      <c r="D510" s="3" t="inlineStr">
        <is>
          <t>Monitores</t>
        </is>
      </c>
      <c r="E510" s="4" t="inlineStr">
        <is>
          <t>2025-02-18</t>
        </is>
      </c>
      <c r="F510" s="5" t="n">
        <v>4526</v>
      </c>
      <c r="G510" s="5" t="n">
        <v>4526</v>
      </c>
      <c r="H510" s="5">
        <f>G510-F510</f>
        <v/>
      </c>
      <c r="I510" s="6">
        <f>H510/F510</f>
        <v/>
      </c>
      <c r="J510" s="3" t="inlineStr">
        <is>
          <t>Ricardo Mendes</t>
        </is>
      </c>
      <c r="K510" s="7" t="inlineStr">
        <is>
          <t>C01</t>
        </is>
      </c>
      <c r="L510" s="7">
        <f>IF(H510=0, "Correto", "Divergente")</f>
        <v/>
      </c>
    </row>
    <row r="511">
      <c r="A511" s="8" t="n">
        <v>510</v>
      </c>
      <c r="B511" s="8" t="n">
        <v>169</v>
      </c>
      <c r="C511" s="9" t="inlineStr">
        <is>
          <t>Cabo HDMI 2.0 2 metros (Modelo 5)</t>
        </is>
      </c>
      <c r="D511" s="9" t="inlineStr">
        <is>
          <t>Acessórios</t>
        </is>
      </c>
      <c r="E511" s="10" t="inlineStr">
        <is>
          <t>2024-12-20</t>
        </is>
      </c>
      <c r="F511" s="11" t="n">
        <v>362</v>
      </c>
      <c r="G511" s="11" t="n">
        <v>362</v>
      </c>
      <c r="H511" s="11">
        <f>G511-F511</f>
        <v/>
      </c>
      <c r="I511" s="12">
        <f>H511/F511</f>
        <v/>
      </c>
      <c r="J511" s="9" t="inlineStr">
        <is>
          <t>Beatriz Castilho</t>
        </is>
      </c>
      <c r="K511" s="13" t="inlineStr">
        <is>
          <t>C03</t>
        </is>
      </c>
      <c r="L511" s="13">
        <f>IF(H511=0, "Correto", "Divergente")</f>
        <v/>
      </c>
    </row>
    <row r="512">
      <c r="A512" s="2" t="n">
        <v>511</v>
      </c>
      <c r="B512" s="2" t="n">
        <v>193</v>
      </c>
      <c r="C512" s="3" t="inlineStr">
        <is>
          <t>Monitor LED 21.5" Full HD (Modelo 14)</t>
        </is>
      </c>
      <c r="D512" s="3" t="inlineStr">
        <is>
          <t>Monitores</t>
        </is>
      </c>
      <c r="E512" s="4" t="inlineStr">
        <is>
          <t>2025-05-15</t>
        </is>
      </c>
      <c r="F512" s="5" t="n">
        <v>1119</v>
      </c>
      <c r="G512" s="5" t="n">
        <v>1119</v>
      </c>
      <c r="H512" s="5">
        <f>G512-F512</f>
        <v/>
      </c>
      <c r="I512" s="6">
        <f>H512/F512</f>
        <v/>
      </c>
      <c r="J512" s="3" t="inlineStr">
        <is>
          <t>Gustavo Silveira</t>
        </is>
      </c>
      <c r="K512" s="7" t="inlineStr">
        <is>
          <t>B01</t>
        </is>
      </c>
      <c r="L512" s="7">
        <f>IF(H512=0, "Correto", "Divergente")</f>
        <v/>
      </c>
    </row>
    <row r="513">
      <c r="A513" s="8" t="n">
        <v>512</v>
      </c>
      <c r="B513" s="8" t="n">
        <v>53</v>
      </c>
      <c r="C513" s="9" t="inlineStr">
        <is>
          <t>Monitor 4K 32" Profissional (Modelo 9)</t>
        </is>
      </c>
      <c r="D513" s="9" t="inlineStr">
        <is>
          <t>Monitores</t>
        </is>
      </c>
      <c r="E513" s="10" t="inlineStr">
        <is>
          <t>2024-10-11</t>
        </is>
      </c>
      <c r="F513" s="11" t="n">
        <v>4400</v>
      </c>
      <c r="G513" s="11" t="n">
        <v>4400</v>
      </c>
      <c r="H513" s="11">
        <f>G513-F513</f>
        <v/>
      </c>
      <c r="I513" s="12">
        <f>H513/F513</f>
        <v/>
      </c>
      <c r="J513" s="9" t="inlineStr">
        <is>
          <t>Carlos Eduardo Rocha</t>
        </is>
      </c>
      <c r="K513" s="13" t="inlineStr">
        <is>
          <t>A01</t>
        </is>
      </c>
      <c r="L513" s="13">
        <f>IF(H513=0, "Correto", "Divergente")</f>
        <v/>
      </c>
    </row>
    <row r="514">
      <c r="A514" s="2" t="n">
        <v>513</v>
      </c>
      <c r="B514" s="2" t="n">
        <v>44</v>
      </c>
      <c r="C514" s="3" t="inlineStr">
        <is>
          <t>Multifuncional Tanque de Tinta (Modelo 15)</t>
        </is>
      </c>
      <c r="D514" s="3" t="inlineStr">
        <is>
          <t>Impressão</t>
        </is>
      </c>
      <c r="E514" s="4" t="inlineStr">
        <is>
          <t>2025-08-25</t>
        </is>
      </c>
      <c r="F514" s="5" t="n">
        <v>4995</v>
      </c>
      <c r="G514" s="5" t="n">
        <v>4995</v>
      </c>
      <c r="H514" s="5">
        <f>G514-F514</f>
        <v/>
      </c>
      <c r="I514" s="6">
        <f>H514/F514</f>
        <v/>
      </c>
      <c r="J514" s="3" t="inlineStr">
        <is>
          <t>Ricardo Mendes</t>
        </is>
      </c>
      <c r="K514" s="7" t="inlineStr">
        <is>
          <t>B02</t>
        </is>
      </c>
      <c r="L514" s="7">
        <f>IF(H514=0, "Correto", "Divergente")</f>
        <v/>
      </c>
    </row>
    <row r="515">
      <c r="A515" s="8" t="n">
        <v>514</v>
      </c>
      <c r="B515" s="8" t="n">
        <v>41</v>
      </c>
      <c r="C515" s="9" t="inlineStr">
        <is>
          <t>Notebook Corporate i5 16GB (Modelo 12)</t>
        </is>
      </c>
      <c r="D515" s="9" t="inlineStr">
        <is>
          <t>Informática</t>
        </is>
      </c>
      <c r="E515" s="10" t="inlineStr">
        <is>
          <t>2024-09-07</t>
        </is>
      </c>
      <c r="F515" s="11" t="n">
        <v>2277</v>
      </c>
      <c r="G515" s="11" t="n">
        <v>2277</v>
      </c>
      <c r="H515" s="11">
        <f>G515-F515</f>
        <v/>
      </c>
      <c r="I515" s="12">
        <f>H515/F515</f>
        <v/>
      </c>
      <c r="J515" s="9" t="inlineStr">
        <is>
          <t>Fernanda Vasconcelos</t>
        </is>
      </c>
      <c r="K515" s="13" t="inlineStr">
        <is>
          <t>B03</t>
        </is>
      </c>
      <c r="L515" s="13">
        <f>IF(H515=0, "Correto", "Divergente")</f>
        <v/>
      </c>
    </row>
    <row r="516">
      <c r="A516" s="2" t="n">
        <v>515</v>
      </c>
      <c r="B516" s="2" t="n">
        <v>121</v>
      </c>
      <c r="C516" s="3" t="inlineStr">
        <is>
          <t>Notebook Corporate i5 16GB (Modelo 2)</t>
        </is>
      </c>
      <c r="D516" s="3" t="inlineStr">
        <is>
          <t>Informática</t>
        </is>
      </c>
      <c r="E516" s="4" t="inlineStr">
        <is>
          <t>2026-08-24</t>
        </is>
      </c>
      <c r="F516" s="5" t="n">
        <v>1253</v>
      </c>
      <c r="G516" s="5" t="n">
        <v>1253</v>
      </c>
      <c r="H516" s="5">
        <f>G516-F516</f>
        <v/>
      </c>
      <c r="I516" s="6">
        <f>H516/F516</f>
        <v/>
      </c>
      <c r="J516" s="3" t="inlineStr">
        <is>
          <t>Marcelo Fontes</t>
        </is>
      </c>
      <c r="K516" s="7" t="inlineStr">
        <is>
          <t>B01</t>
        </is>
      </c>
      <c r="L516" s="7">
        <f>IF(H516=0, "Correto", "Divergente")</f>
        <v/>
      </c>
    </row>
    <row r="517">
      <c r="A517" s="8" t="n">
        <v>516</v>
      </c>
      <c r="B517" s="8" t="n">
        <v>184</v>
      </c>
      <c r="C517" s="9" t="inlineStr">
        <is>
          <t>Toner HP Preto Original (Modelo 5)</t>
        </is>
      </c>
      <c r="D517" s="9" t="inlineStr">
        <is>
          <t>Impressão</t>
        </is>
      </c>
      <c r="E517" s="10" t="inlineStr">
        <is>
          <t>2025-11-11</t>
        </is>
      </c>
      <c r="F517" s="11" t="n">
        <v>3690</v>
      </c>
      <c r="G517" s="11" t="n">
        <v>3690</v>
      </c>
      <c r="H517" s="11">
        <f>G517-F517</f>
        <v/>
      </c>
      <c r="I517" s="12">
        <f>H517/F517</f>
        <v/>
      </c>
      <c r="J517" s="9" t="inlineStr">
        <is>
          <t>Camila Azevedo</t>
        </is>
      </c>
      <c r="K517" s="13" t="inlineStr">
        <is>
          <t>Depósito Externo</t>
        </is>
      </c>
      <c r="L517" s="13">
        <f>IF(H517=0, "Correto", "Divergente")</f>
        <v/>
      </c>
    </row>
    <row r="518">
      <c r="A518" s="2" t="n">
        <v>517</v>
      </c>
      <c r="B518" s="2" t="n">
        <v>152</v>
      </c>
      <c r="C518" s="3" t="inlineStr">
        <is>
          <t>Combo Teclado e Mouse (Modelo 3)</t>
        </is>
      </c>
      <c r="D518" s="3" t="inlineStr">
        <is>
          <t>Periféricos</t>
        </is>
      </c>
      <c r="E518" s="4" t="inlineStr">
        <is>
          <t>2026-03-25</t>
        </is>
      </c>
      <c r="F518" s="5" t="n">
        <v>997</v>
      </c>
      <c r="G518" s="5" t="n">
        <v>1014</v>
      </c>
      <c r="H518" s="5">
        <f>G518-F518</f>
        <v/>
      </c>
      <c r="I518" s="6">
        <f>H518/F518</f>
        <v/>
      </c>
      <c r="J518" s="3" t="inlineStr">
        <is>
          <t>Fernanda Vasconcelos</t>
        </is>
      </c>
      <c r="K518" s="7" t="inlineStr">
        <is>
          <t>A01</t>
        </is>
      </c>
      <c r="L518" s="7">
        <f>IF(H518=0, "Correto", "Divergente")</f>
        <v/>
      </c>
    </row>
    <row r="519">
      <c r="A519" s="8" t="n">
        <v>518</v>
      </c>
      <c r="B519" s="8" t="n">
        <v>154</v>
      </c>
      <c r="C519" s="9" t="inlineStr">
        <is>
          <t>Toner HP Preto Original (Modelo 5)</t>
        </is>
      </c>
      <c r="D519" s="9" t="inlineStr">
        <is>
          <t>Impressão</t>
        </is>
      </c>
      <c r="E519" s="10" t="inlineStr">
        <is>
          <t>2025-11-26</t>
        </is>
      </c>
      <c r="F519" s="11" t="n">
        <v>2961</v>
      </c>
      <c r="G519" s="11" t="n">
        <v>2961</v>
      </c>
      <c r="H519" s="11">
        <f>G519-F519</f>
        <v/>
      </c>
      <c r="I519" s="12">
        <f>H519/F519</f>
        <v/>
      </c>
      <c r="J519" s="9" t="inlineStr">
        <is>
          <t>Mariana Alcantara</t>
        </is>
      </c>
      <c r="K519" s="13" t="inlineStr">
        <is>
          <t>A02</t>
        </is>
      </c>
      <c r="L519" s="13">
        <f>IF(H519=0, "Correto", "Divergente")</f>
        <v/>
      </c>
    </row>
    <row r="520">
      <c r="A520" s="2" t="n">
        <v>519</v>
      </c>
      <c r="B520" s="2" t="n">
        <v>198</v>
      </c>
      <c r="C520" s="3" t="inlineStr">
        <is>
          <t>Repetidor Wi-Fi 1200Mbps (Modelo 4)</t>
        </is>
      </c>
      <c r="D520" s="3" t="inlineStr">
        <is>
          <t>Redes</t>
        </is>
      </c>
      <c r="E520" s="4" t="inlineStr">
        <is>
          <t>2024-06-17</t>
        </is>
      </c>
      <c r="F520" s="5" t="n">
        <v>924</v>
      </c>
      <c r="G520" s="5" t="n">
        <v>924</v>
      </c>
      <c r="H520" s="5">
        <f>G520-F520</f>
        <v/>
      </c>
      <c r="I520" s="6">
        <f>H520/F520</f>
        <v/>
      </c>
      <c r="J520" s="3" t="inlineStr">
        <is>
          <t>Patricia Prado</t>
        </is>
      </c>
      <c r="K520" s="7" t="inlineStr">
        <is>
          <t>A03</t>
        </is>
      </c>
      <c r="L520" s="7">
        <f>IF(H520=0, "Correto", "Divergente")</f>
        <v/>
      </c>
    </row>
    <row r="521">
      <c r="A521" s="8" t="n">
        <v>520</v>
      </c>
      <c r="B521" s="8" t="n">
        <v>142</v>
      </c>
      <c r="C521" s="9" t="inlineStr">
        <is>
          <t>Teclado Sem Fio Ergológico (Modelo 8)</t>
        </is>
      </c>
      <c r="D521" s="9" t="inlineStr">
        <is>
          <t>Periféricos</t>
        </is>
      </c>
      <c r="E521" s="10" t="inlineStr">
        <is>
          <t>2025-10-31</t>
        </is>
      </c>
      <c r="F521" s="11" t="n">
        <v>2159</v>
      </c>
      <c r="G521" s="11" t="n">
        <v>2159</v>
      </c>
      <c r="H521" s="11">
        <f>G521-F521</f>
        <v/>
      </c>
      <c r="I521" s="12">
        <f>H521/F521</f>
        <v/>
      </c>
      <c r="J521" s="9" t="inlineStr">
        <is>
          <t>Beatriz Castilho</t>
        </is>
      </c>
      <c r="K521" s="13" t="inlineStr">
        <is>
          <t>C01</t>
        </is>
      </c>
      <c r="L521" s="13">
        <f>IF(H521=0, "Correto", "Divergente")</f>
        <v/>
      </c>
    </row>
    <row r="522">
      <c r="A522" s="2" t="n">
        <v>521</v>
      </c>
      <c r="B522" s="2" t="n">
        <v>119</v>
      </c>
      <c r="C522" s="3" t="inlineStr">
        <is>
          <t>Mousepad Extra Grande (Modelo 15)</t>
        </is>
      </c>
      <c r="D522" s="3" t="inlineStr">
        <is>
          <t>Acessórios</t>
        </is>
      </c>
      <c r="E522" s="4" t="inlineStr">
        <is>
          <t>2025-01-10</t>
        </is>
      </c>
      <c r="F522" s="5" t="n">
        <v>867</v>
      </c>
      <c r="G522" s="5" t="n">
        <v>838</v>
      </c>
      <c r="H522" s="5">
        <f>G522-F522</f>
        <v/>
      </c>
      <c r="I522" s="6">
        <f>H522/F522</f>
        <v/>
      </c>
      <c r="J522" s="3" t="inlineStr">
        <is>
          <t>Mariana Alcantara</t>
        </is>
      </c>
      <c r="K522" s="7" t="inlineStr">
        <is>
          <t>A03</t>
        </is>
      </c>
      <c r="L522" s="7">
        <f>IF(H522=0, "Correto", "Divergente")</f>
        <v/>
      </c>
    </row>
    <row r="523">
      <c r="A523" s="8" t="n">
        <v>522</v>
      </c>
      <c r="B523" s="8" t="n">
        <v>174</v>
      </c>
      <c r="C523" s="9" t="inlineStr">
        <is>
          <t>Cartucho Colorido Premium (Modelo 10)</t>
        </is>
      </c>
      <c r="D523" s="9" t="inlineStr">
        <is>
          <t>Impressão</t>
        </is>
      </c>
      <c r="E523" s="10" t="inlineStr">
        <is>
          <t>2024-07-25</t>
        </is>
      </c>
      <c r="F523" s="11" t="n">
        <v>946</v>
      </c>
      <c r="G523" s="11" t="n">
        <v>949</v>
      </c>
      <c r="H523" s="11">
        <f>G523-F523</f>
        <v/>
      </c>
      <c r="I523" s="12">
        <f>H523/F523</f>
        <v/>
      </c>
      <c r="J523" s="9" t="inlineStr">
        <is>
          <t>Marcelo Fontes</t>
        </is>
      </c>
      <c r="K523" s="13" t="inlineStr">
        <is>
          <t>B02</t>
        </is>
      </c>
      <c r="L523" s="13">
        <f>IF(H523=0, "Correto", "Divergente")</f>
        <v/>
      </c>
    </row>
    <row r="524">
      <c r="A524" s="2" t="n">
        <v>523</v>
      </c>
      <c r="B524" s="2" t="n">
        <v>73</v>
      </c>
      <c r="C524" s="3" t="inlineStr">
        <is>
          <t>Monitor LED 21.5" Full HD (Modelo 14)</t>
        </is>
      </c>
      <c r="D524" s="3" t="inlineStr">
        <is>
          <t>Monitores</t>
        </is>
      </c>
      <c r="E524" s="4" t="inlineStr">
        <is>
          <t>2025-12-18</t>
        </is>
      </c>
      <c r="F524" s="5" t="n">
        <v>2853</v>
      </c>
      <c r="G524" s="5" t="n">
        <v>2853</v>
      </c>
      <c r="H524" s="5">
        <f>G524-F524</f>
        <v/>
      </c>
      <c r="I524" s="6">
        <f>H524/F524</f>
        <v/>
      </c>
      <c r="J524" s="3" t="inlineStr">
        <is>
          <t>Ricardo Mendes</t>
        </is>
      </c>
      <c r="K524" s="7" t="inlineStr">
        <is>
          <t>A02</t>
        </is>
      </c>
      <c r="L524" s="7">
        <f>IF(H524=0, "Correto", "Divergente")</f>
        <v/>
      </c>
    </row>
    <row r="525">
      <c r="A525" s="8" t="n">
        <v>524</v>
      </c>
      <c r="B525" s="8" t="n">
        <v>160</v>
      </c>
      <c r="C525" s="9" t="inlineStr">
        <is>
          <t>Fonte Atx 500W 80 Plus (Modelo 11)</t>
        </is>
      </c>
      <c r="D525" s="9" t="inlineStr">
        <is>
          <t>Componentes</t>
        </is>
      </c>
      <c r="E525" s="10" t="inlineStr">
        <is>
          <t>2025-11-07</t>
        </is>
      </c>
      <c r="F525" s="11" t="n">
        <v>4002</v>
      </c>
      <c r="G525" s="11" t="n">
        <v>4002</v>
      </c>
      <c r="H525" s="11">
        <f>G525-F525</f>
        <v/>
      </c>
      <c r="I525" s="12">
        <f>H525/F525</f>
        <v/>
      </c>
      <c r="J525" s="9" t="inlineStr">
        <is>
          <t>Fernanda Vasconcelos</t>
        </is>
      </c>
      <c r="K525" s="13" t="inlineStr">
        <is>
          <t>B02</t>
        </is>
      </c>
      <c r="L525" s="13">
        <f>IF(H525=0, "Correto", "Divergente")</f>
        <v/>
      </c>
    </row>
    <row r="526">
      <c r="A526" s="2" t="n">
        <v>525</v>
      </c>
      <c r="B526" s="2" t="n">
        <v>8</v>
      </c>
      <c r="C526" s="3" t="inlineStr">
        <is>
          <t>Switch Gigabit 16 Portas (Modelo 9)</t>
        </is>
      </c>
      <c r="D526" s="3" t="inlineStr">
        <is>
          <t>Redes</t>
        </is>
      </c>
      <c r="E526" s="4" t="inlineStr">
        <is>
          <t>2025-03-25</t>
        </is>
      </c>
      <c r="F526" s="5" t="n">
        <v>4848</v>
      </c>
      <c r="G526" s="5" t="n">
        <v>4760</v>
      </c>
      <c r="H526" s="5">
        <f>G526-F526</f>
        <v/>
      </c>
      <c r="I526" s="6">
        <f>H526/F526</f>
        <v/>
      </c>
      <c r="J526" s="3" t="inlineStr">
        <is>
          <t>Fernanda Vasconcelos</t>
        </is>
      </c>
      <c r="K526" s="7" t="inlineStr">
        <is>
          <t>Depósito Externo</t>
        </is>
      </c>
      <c r="L526" s="7">
        <f>IF(H526=0, "Correto", "Divergente")</f>
        <v/>
      </c>
    </row>
    <row r="527">
      <c r="A527" s="8" t="n">
        <v>526</v>
      </c>
      <c r="B527" s="8" t="n">
        <v>79</v>
      </c>
      <c r="C527" s="9" t="inlineStr">
        <is>
          <t>Cabo DisplayPort 1.4 1.8m (Modelo 5)</t>
        </is>
      </c>
      <c r="D527" s="9" t="inlineStr">
        <is>
          <t>Acessórios</t>
        </is>
      </c>
      <c r="E527" s="10" t="inlineStr">
        <is>
          <t>2024-05-11</t>
        </is>
      </c>
      <c r="F527" s="11" t="n">
        <v>837</v>
      </c>
      <c r="G527" s="11" t="n">
        <v>837</v>
      </c>
      <c r="H527" s="11">
        <f>G527-F527</f>
        <v/>
      </c>
      <c r="I527" s="12">
        <f>H527/F527</f>
        <v/>
      </c>
      <c r="J527" s="9" t="inlineStr">
        <is>
          <t>Patricia Prado</t>
        </is>
      </c>
      <c r="K527" s="13" t="inlineStr">
        <is>
          <t>A01</t>
        </is>
      </c>
      <c r="L527" s="13">
        <f>IF(H527=0, "Correto", "Divergente")</f>
        <v/>
      </c>
    </row>
    <row r="528">
      <c r="A528" s="2" t="n">
        <v>527</v>
      </c>
      <c r="B528" s="2" t="n">
        <v>18</v>
      </c>
      <c r="C528" s="3" t="inlineStr">
        <is>
          <t>Repetidor Wi-Fi 1200Mbps (Modelo 4)</t>
        </is>
      </c>
      <c r="D528" s="3" t="inlineStr">
        <is>
          <t>Redes</t>
        </is>
      </c>
      <c r="E528" s="4" t="inlineStr">
        <is>
          <t>2025-06-22</t>
        </is>
      </c>
      <c r="F528" s="5" t="n">
        <v>3923</v>
      </c>
      <c r="G528" s="5" t="n">
        <v>3923</v>
      </c>
      <c r="H528" s="5">
        <f>G528-F528</f>
        <v/>
      </c>
      <c r="I528" s="6">
        <f>H528/F528</f>
        <v/>
      </c>
      <c r="J528" s="3" t="inlineStr">
        <is>
          <t>Camila Azevedo</t>
        </is>
      </c>
      <c r="K528" s="7" t="inlineStr">
        <is>
          <t>Depósito Externo</t>
        </is>
      </c>
      <c r="L528" s="7">
        <f>IF(H528=0, "Correto", "Divergente")</f>
        <v/>
      </c>
    </row>
    <row r="529">
      <c r="A529" s="8" t="n">
        <v>528</v>
      </c>
      <c r="B529" s="8" t="n">
        <v>168</v>
      </c>
      <c r="C529" s="9" t="inlineStr">
        <is>
          <t>Repetidor Wi-Fi 1200Mbps (Modelo 4)</t>
        </is>
      </c>
      <c r="D529" s="9" t="inlineStr">
        <is>
          <t>Redes</t>
        </is>
      </c>
      <c r="E529" s="10" t="inlineStr">
        <is>
          <t>2024-09-18</t>
        </is>
      </c>
      <c r="F529" s="11" t="n">
        <v>279</v>
      </c>
      <c r="G529" s="11" t="n">
        <v>275</v>
      </c>
      <c r="H529" s="11">
        <f>G529-F529</f>
        <v/>
      </c>
      <c r="I529" s="12">
        <f>H529/F529</f>
        <v/>
      </c>
      <c r="J529" s="9" t="inlineStr">
        <is>
          <t>Carlos Eduardo Rocha</t>
        </is>
      </c>
      <c r="K529" s="13" t="inlineStr">
        <is>
          <t>B02</t>
        </is>
      </c>
      <c r="L529" s="13">
        <f>IF(H529=0, "Correto", "Divergente")</f>
        <v/>
      </c>
    </row>
    <row r="530">
      <c r="A530" s="2" t="n">
        <v>529</v>
      </c>
      <c r="B530" s="2" t="n">
        <v>185</v>
      </c>
      <c r="C530" s="3" t="inlineStr">
        <is>
          <t>Caixa de Som Bluetooth Portátil (Modelo 6)</t>
        </is>
      </c>
      <c r="D530" s="3" t="inlineStr">
        <is>
          <t>Áudio</t>
        </is>
      </c>
      <c r="E530" s="4" t="inlineStr">
        <is>
          <t>2024-05-08</t>
        </is>
      </c>
      <c r="F530" s="5" t="n">
        <v>4291</v>
      </c>
      <c r="G530" s="5" t="n">
        <v>4291</v>
      </c>
      <c r="H530" s="5">
        <f>G530-F530</f>
        <v/>
      </c>
      <c r="I530" s="6">
        <f>H530/F530</f>
        <v/>
      </c>
      <c r="J530" s="3" t="inlineStr">
        <is>
          <t>Fernanda Vasconcelos</t>
        </is>
      </c>
      <c r="K530" s="7" t="inlineStr">
        <is>
          <t>B03</t>
        </is>
      </c>
      <c r="L530" s="7">
        <f>IF(H530=0, "Correto", "Divergente")</f>
        <v/>
      </c>
    </row>
    <row r="531">
      <c r="A531" s="8" t="n">
        <v>530</v>
      </c>
      <c r="B531" s="8" t="n">
        <v>192</v>
      </c>
      <c r="C531" s="9" t="inlineStr">
        <is>
          <t>Mouse Óptico USB (Modelo 13)</t>
        </is>
      </c>
      <c r="D531" s="9" t="inlineStr">
        <is>
          <t>Periféricos</t>
        </is>
      </c>
      <c r="E531" s="10" t="inlineStr">
        <is>
          <t>2024-03-06</t>
        </is>
      </c>
      <c r="F531" s="11" t="n">
        <v>532</v>
      </c>
      <c r="G531" s="11" t="n">
        <v>532</v>
      </c>
      <c r="H531" s="11">
        <f>G531-F531</f>
        <v/>
      </c>
      <c r="I531" s="12">
        <f>H531/F531</f>
        <v/>
      </c>
      <c r="J531" s="9" t="inlineStr">
        <is>
          <t>Camila Azevedo</t>
        </is>
      </c>
      <c r="K531" s="13" t="inlineStr">
        <is>
          <t>C01</t>
        </is>
      </c>
      <c r="L531" s="13">
        <f>IF(H531=0, "Correto", "Divergente")</f>
        <v/>
      </c>
    </row>
    <row r="532">
      <c r="A532" s="2" t="n">
        <v>531</v>
      </c>
      <c r="B532" s="2" t="n">
        <v>81</v>
      </c>
      <c r="C532" s="3" t="inlineStr">
        <is>
          <t>Notebook Corporate i5 16GB (Modelo 7)</t>
        </is>
      </c>
      <c r="D532" s="3" t="inlineStr">
        <is>
          <t>Informática</t>
        </is>
      </c>
      <c r="E532" s="4" t="inlineStr">
        <is>
          <t>2024-10-21</t>
        </is>
      </c>
      <c r="F532" s="5" t="n">
        <v>482</v>
      </c>
      <c r="G532" s="5" t="n">
        <v>482</v>
      </c>
      <c r="H532" s="5">
        <f>G532-F532</f>
        <v/>
      </c>
      <c r="I532" s="6">
        <f>H532/F532</f>
        <v/>
      </c>
      <c r="J532" s="3" t="inlineStr">
        <is>
          <t>Ricardo Mendes</t>
        </is>
      </c>
      <c r="K532" s="7" t="inlineStr">
        <is>
          <t>C01</t>
        </is>
      </c>
      <c r="L532" s="7">
        <f>IF(H532=0, "Correto", "Divergente")</f>
        <v/>
      </c>
    </row>
    <row r="533">
      <c r="A533" s="8" t="n">
        <v>532</v>
      </c>
      <c r="B533" s="8" t="n">
        <v>135</v>
      </c>
      <c r="C533" s="9" t="inlineStr">
        <is>
          <t>Caixa de Som USB 10W (Modelo 1)</t>
        </is>
      </c>
      <c r="D533" s="9" t="inlineStr">
        <is>
          <t>Áudio</t>
        </is>
      </c>
      <c r="E533" s="10" t="inlineStr">
        <is>
          <t>2025-07-15</t>
        </is>
      </c>
      <c r="F533" s="11" t="n">
        <v>1269</v>
      </c>
      <c r="G533" s="11" t="n">
        <v>1269</v>
      </c>
      <c r="H533" s="11">
        <f>G533-F533</f>
        <v/>
      </c>
      <c r="I533" s="12">
        <f>H533/F533</f>
        <v/>
      </c>
      <c r="J533" s="9" t="inlineStr">
        <is>
          <t>Fernanda Vasconcelos</t>
        </is>
      </c>
      <c r="K533" s="13" t="inlineStr">
        <is>
          <t>B02</t>
        </is>
      </c>
      <c r="L533" s="13">
        <f>IF(H533=0, "Correto", "Divergente")</f>
        <v/>
      </c>
    </row>
    <row r="534">
      <c r="A534" s="2" t="n">
        <v>533</v>
      </c>
      <c r="B534" s="2" t="n">
        <v>9</v>
      </c>
      <c r="C534" s="3" t="inlineStr">
        <is>
          <t>Cabo DisplayPort 1.4 1.8m (Modelo 10)</t>
        </is>
      </c>
      <c r="D534" s="3" t="inlineStr">
        <is>
          <t>Acessórios</t>
        </is>
      </c>
      <c r="E534" s="4" t="inlineStr">
        <is>
          <t>2026-07-31</t>
        </is>
      </c>
      <c r="F534" s="5" t="n">
        <v>3129</v>
      </c>
      <c r="G534" s="5" t="n">
        <v>3129</v>
      </c>
      <c r="H534" s="5">
        <f>G534-F534</f>
        <v/>
      </c>
      <c r="I534" s="6">
        <f>H534/F534</f>
        <v/>
      </c>
      <c r="J534" s="3" t="inlineStr">
        <is>
          <t>Beatriz Castilho</t>
        </is>
      </c>
      <c r="K534" s="7" t="inlineStr">
        <is>
          <t>A03</t>
        </is>
      </c>
      <c r="L534" s="7">
        <f>IF(H534=0, "Correto", "Divergente")</f>
        <v/>
      </c>
    </row>
    <row r="535">
      <c r="A535" s="8" t="n">
        <v>534</v>
      </c>
      <c r="B535" s="8" t="n">
        <v>77</v>
      </c>
      <c r="C535" s="9" t="inlineStr">
        <is>
          <t>Capa Protetora para Tablet (Modelo 3)</t>
        </is>
      </c>
      <c r="D535" s="9" t="inlineStr">
        <is>
          <t>Smartphones</t>
        </is>
      </c>
      <c r="E535" s="10" t="inlineStr">
        <is>
          <t>2026-08-28</t>
        </is>
      </c>
      <c r="F535" s="11" t="n">
        <v>3720</v>
      </c>
      <c r="G535" s="11" t="n">
        <v>3720</v>
      </c>
      <c r="H535" s="11">
        <f>G535-F535</f>
        <v/>
      </c>
      <c r="I535" s="12">
        <f>H535/F535</f>
        <v/>
      </c>
      <c r="J535" s="9" t="inlineStr">
        <is>
          <t>Fernanda Vasconcelos</t>
        </is>
      </c>
      <c r="K535" s="13" t="inlineStr">
        <is>
          <t>B01</t>
        </is>
      </c>
      <c r="L535" s="13">
        <f>IF(H535=0, "Correto", "Divergente")</f>
        <v/>
      </c>
    </row>
    <row r="536">
      <c r="A536" s="2" t="n">
        <v>535</v>
      </c>
      <c r="B536" s="2" t="n">
        <v>99</v>
      </c>
      <c r="C536" s="3" t="inlineStr">
        <is>
          <t>Cabo HDMI 2.0 2 metros (Modelo 10)</t>
        </is>
      </c>
      <c r="D536" s="3" t="inlineStr">
        <is>
          <t>Acessórios</t>
        </is>
      </c>
      <c r="E536" s="4" t="inlineStr">
        <is>
          <t>2025-11-05</t>
        </is>
      </c>
      <c r="F536" s="5" t="n">
        <v>3097</v>
      </c>
      <c r="G536" s="5" t="n">
        <v>3097</v>
      </c>
      <c r="H536" s="5">
        <f>G536-F536</f>
        <v/>
      </c>
      <c r="I536" s="6">
        <f>H536/F536</f>
        <v/>
      </c>
      <c r="J536" s="3" t="inlineStr">
        <is>
          <t>Carlos Eduardo Rocha</t>
        </is>
      </c>
      <c r="K536" s="7" t="inlineStr">
        <is>
          <t>A01</t>
        </is>
      </c>
      <c r="L536" s="7">
        <f>IF(H536=0, "Correto", "Divergente")</f>
        <v/>
      </c>
    </row>
    <row r="537">
      <c r="A537" s="8" t="n">
        <v>536</v>
      </c>
      <c r="B537" s="8" t="n">
        <v>29</v>
      </c>
      <c r="C537" s="9" t="inlineStr">
        <is>
          <t>Cabo HDMI 2.0 2 metros (Modelo 15)</t>
        </is>
      </c>
      <c r="D537" s="9" t="inlineStr">
        <is>
          <t>Acessórios</t>
        </is>
      </c>
      <c r="E537" s="10" t="inlineStr">
        <is>
          <t>2024-07-15</t>
        </is>
      </c>
      <c r="F537" s="11" t="n">
        <v>161</v>
      </c>
      <c r="G537" s="11" t="n">
        <v>161</v>
      </c>
      <c r="H537" s="11">
        <f>G537-F537</f>
        <v/>
      </c>
      <c r="I537" s="12">
        <f>H537/F537</f>
        <v/>
      </c>
      <c r="J537" s="9" t="inlineStr">
        <is>
          <t>Patricia Prado</t>
        </is>
      </c>
      <c r="K537" s="13" t="inlineStr">
        <is>
          <t>B03</t>
        </is>
      </c>
      <c r="L537" s="13">
        <f>IF(H537=0, "Correto", "Divergente")</f>
        <v/>
      </c>
    </row>
    <row r="538">
      <c r="A538" s="2" t="n">
        <v>537</v>
      </c>
      <c r="B538" s="2" t="n">
        <v>58</v>
      </c>
      <c r="C538" s="3" t="inlineStr">
        <is>
          <t>Access Point Wi-Fi Corporativo (Modelo 14)</t>
        </is>
      </c>
      <c r="D538" s="3" t="inlineStr">
        <is>
          <t>Redes</t>
        </is>
      </c>
      <c r="E538" s="4" t="inlineStr">
        <is>
          <t>2024-03-29</t>
        </is>
      </c>
      <c r="F538" s="5" t="n">
        <v>4086</v>
      </c>
      <c r="G538" s="5" t="n">
        <v>3498</v>
      </c>
      <c r="H538" s="5">
        <f>G538-F538</f>
        <v/>
      </c>
      <c r="I538" s="6">
        <f>H538/F538</f>
        <v/>
      </c>
      <c r="J538" s="3" t="inlineStr">
        <is>
          <t>Mariana Alcantara</t>
        </is>
      </c>
      <c r="K538" s="7" t="inlineStr">
        <is>
          <t>B03</t>
        </is>
      </c>
      <c r="L538" s="7">
        <f>IF(H538=0, "Correto", "Divergente")</f>
        <v/>
      </c>
    </row>
    <row r="539">
      <c r="A539" s="8" t="n">
        <v>538</v>
      </c>
      <c r="B539" s="8" t="n">
        <v>177</v>
      </c>
      <c r="C539" s="9" t="inlineStr">
        <is>
          <t>Tablet 10.1" Wi-Fi 64GB (Modelo 13)</t>
        </is>
      </c>
      <c r="D539" s="9" t="inlineStr">
        <is>
          <t>Smartphones</t>
        </is>
      </c>
      <c r="E539" s="10" t="inlineStr">
        <is>
          <t>2025-03-17</t>
        </is>
      </c>
      <c r="F539" s="11" t="n">
        <v>4073</v>
      </c>
      <c r="G539" s="11" t="n">
        <v>4073</v>
      </c>
      <c r="H539" s="11">
        <f>G539-F539</f>
        <v/>
      </c>
      <c r="I539" s="12">
        <f>H539/F539</f>
        <v/>
      </c>
      <c r="J539" s="9" t="inlineStr">
        <is>
          <t>Mariana Alcantara</t>
        </is>
      </c>
      <c r="K539" s="13" t="inlineStr">
        <is>
          <t>A01</t>
        </is>
      </c>
      <c r="L539" s="13">
        <f>IF(H539=0, "Correto", "Divergente")</f>
        <v/>
      </c>
    </row>
    <row r="540">
      <c r="A540" s="2" t="n">
        <v>539</v>
      </c>
      <c r="B540" s="2" t="n">
        <v>25</v>
      </c>
      <c r="C540" s="3" t="inlineStr">
        <is>
          <t>Headset USB com Cancelamento de Ruído (Modelo 11)</t>
        </is>
      </c>
      <c r="D540" s="3" t="inlineStr">
        <is>
          <t>Áudio</t>
        </is>
      </c>
      <c r="E540" s="4" t="inlineStr">
        <is>
          <t>2026-07-15</t>
        </is>
      </c>
      <c r="F540" s="5" t="n">
        <v>1089</v>
      </c>
      <c r="G540" s="5" t="n">
        <v>1050</v>
      </c>
      <c r="H540" s="5">
        <f>G540-F540</f>
        <v/>
      </c>
      <c r="I540" s="6">
        <f>H540/F540</f>
        <v/>
      </c>
      <c r="J540" s="3" t="inlineStr">
        <is>
          <t>Patricia Prado</t>
        </is>
      </c>
      <c r="K540" s="7" t="inlineStr">
        <is>
          <t>A03</t>
        </is>
      </c>
      <c r="L540" s="7">
        <f>IF(H540=0, "Correto", "Divergente")</f>
        <v/>
      </c>
    </row>
    <row r="541">
      <c r="A541" s="8" t="n">
        <v>540</v>
      </c>
      <c r="B541" s="8" t="n">
        <v>34</v>
      </c>
      <c r="C541" s="9" t="inlineStr">
        <is>
          <t>Toner HP Preto Original (Modelo 5)</t>
        </is>
      </c>
      <c r="D541" s="9" t="inlineStr">
        <is>
          <t>Impressão</t>
        </is>
      </c>
      <c r="E541" s="10" t="inlineStr">
        <is>
          <t>2025-09-11</t>
        </is>
      </c>
      <c r="F541" s="11" t="n">
        <v>2612</v>
      </c>
      <c r="G541" s="11" t="n">
        <v>2627</v>
      </c>
      <c r="H541" s="11">
        <f>G541-F541</f>
        <v/>
      </c>
      <c r="I541" s="12">
        <f>H541/F541</f>
        <v/>
      </c>
      <c r="J541" s="9" t="inlineStr">
        <is>
          <t>Camila Azevedo</t>
        </is>
      </c>
      <c r="K541" s="13" t="inlineStr">
        <is>
          <t>A01</t>
        </is>
      </c>
      <c r="L541" s="13">
        <f>IF(H541=0, "Correto", "Divergente")</f>
        <v/>
      </c>
    </row>
    <row r="542">
      <c r="A542" s="2" t="n">
        <v>541</v>
      </c>
      <c r="B542" s="2" t="n">
        <v>72</v>
      </c>
      <c r="C542" s="3" t="inlineStr">
        <is>
          <t>Teclado Sem Fio Ergológico (Modelo 13)</t>
        </is>
      </c>
      <c r="D542" s="3" t="inlineStr">
        <is>
          <t>Periféricos</t>
        </is>
      </c>
      <c r="E542" s="4" t="inlineStr">
        <is>
          <t>2026-02-05</t>
        </is>
      </c>
      <c r="F542" s="5" t="n">
        <v>1160</v>
      </c>
      <c r="G542" s="5" t="n">
        <v>1160</v>
      </c>
      <c r="H542" s="5">
        <f>G542-F542</f>
        <v/>
      </c>
      <c r="I542" s="6">
        <f>H542/F542</f>
        <v/>
      </c>
      <c r="J542" s="3" t="inlineStr">
        <is>
          <t>Fernanda Vasconcelos</t>
        </is>
      </c>
      <c r="K542" s="7" t="inlineStr">
        <is>
          <t>A02</t>
        </is>
      </c>
      <c r="L542" s="7">
        <f>IF(H542=0, "Correto", "Divergente")</f>
        <v/>
      </c>
    </row>
    <row r="543">
      <c r="A543" s="8" t="n">
        <v>542</v>
      </c>
      <c r="B543" s="8" t="n">
        <v>49</v>
      </c>
      <c r="C543" s="9" t="inlineStr">
        <is>
          <t>Mousepad Extra Grande (Modelo 5)</t>
        </is>
      </c>
      <c r="D543" s="9" t="inlineStr">
        <is>
          <t>Acessórios</t>
        </is>
      </c>
      <c r="E543" s="10" t="inlineStr">
        <is>
          <t>2024-07-06</t>
        </is>
      </c>
      <c r="F543" s="11" t="n">
        <v>1606</v>
      </c>
      <c r="G543" s="11" t="n">
        <v>1606</v>
      </c>
      <c r="H543" s="11">
        <f>G543-F543</f>
        <v/>
      </c>
      <c r="I543" s="12">
        <f>H543/F543</f>
        <v/>
      </c>
      <c r="J543" s="9" t="inlineStr">
        <is>
          <t>Carlos Eduardo Rocha</t>
        </is>
      </c>
      <c r="K543" s="13" t="inlineStr">
        <is>
          <t>A01</t>
        </is>
      </c>
      <c r="L543" s="13">
        <f>IF(H543=0, "Correto", "Divergente")</f>
        <v/>
      </c>
    </row>
    <row r="544">
      <c r="A544" s="2" t="n">
        <v>543</v>
      </c>
      <c r="B544" s="2" t="n">
        <v>177</v>
      </c>
      <c r="C544" s="3" t="inlineStr">
        <is>
          <t>Tablet 10.1" Wi-Fi 64GB (Modelo 13)</t>
        </is>
      </c>
      <c r="D544" s="3" t="inlineStr">
        <is>
          <t>Smartphones</t>
        </is>
      </c>
      <c r="E544" s="4" t="inlineStr">
        <is>
          <t>2024-11-13</t>
        </is>
      </c>
      <c r="F544" s="5" t="n">
        <v>3501</v>
      </c>
      <c r="G544" s="5" t="n">
        <v>3501</v>
      </c>
      <c r="H544" s="5">
        <f>G544-F544</f>
        <v/>
      </c>
      <c r="I544" s="6">
        <f>H544/F544</f>
        <v/>
      </c>
      <c r="J544" s="3" t="inlineStr">
        <is>
          <t>Ricardo Mendes</t>
        </is>
      </c>
      <c r="K544" s="7" t="inlineStr">
        <is>
          <t>A01</t>
        </is>
      </c>
      <c r="L544" s="7">
        <f>IF(H544=0, "Correto", "Divergente")</f>
        <v/>
      </c>
    </row>
    <row r="545">
      <c r="A545" s="8" t="n">
        <v>544</v>
      </c>
      <c r="B545" s="8" t="n">
        <v>162</v>
      </c>
      <c r="C545" s="9" t="inlineStr">
        <is>
          <t>Teclado Mecânico RGB (Modelo 13)</t>
        </is>
      </c>
      <c r="D545" s="9" t="inlineStr">
        <is>
          <t>Periféricos</t>
        </is>
      </c>
      <c r="E545" s="10" t="inlineStr">
        <is>
          <t>2024-08-25</t>
        </is>
      </c>
      <c r="F545" s="11" t="n">
        <v>4281</v>
      </c>
      <c r="G545" s="11" t="n">
        <v>4281</v>
      </c>
      <c r="H545" s="11">
        <f>G545-F545</f>
        <v/>
      </c>
      <c r="I545" s="12">
        <f>H545/F545</f>
        <v/>
      </c>
      <c r="J545" s="9" t="inlineStr">
        <is>
          <t>Beatriz Castilho</t>
        </is>
      </c>
      <c r="K545" s="13" t="inlineStr">
        <is>
          <t>B01</t>
        </is>
      </c>
      <c r="L545" s="13">
        <f>IF(H545=0, "Correto", "Divergente")</f>
        <v/>
      </c>
    </row>
    <row r="546">
      <c r="A546" s="2" t="n">
        <v>545</v>
      </c>
      <c r="B546" s="2" t="n">
        <v>101</v>
      </c>
      <c r="C546" s="3" t="inlineStr">
        <is>
          <t>Mini PC Ryzen 5 (Modelo 12)</t>
        </is>
      </c>
      <c r="D546" s="3" t="inlineStr">
        <is>
          <t>Informática</t>
        </is>
      </c>
      <c r="E546" s="4" t="inlineStr">
        <is>
          <t>2024-03-15</t>
        </is>
      </c>
      <c r="F546" s="5" t="n">
        <v>3117</v>
      </c>
      <c r="G546" s="5" t="n">
        <v>3022</v>
      </c>
      <c r="H546" s="5">
        <f>G546-F546</f>
        <v/>
      </c>
      <c r="I546" s="6">
        <f>H546/F546</f>
        <v/>
      </c>
      <c r="J546" s="3" t="inlineStr">
        <is>
          <t>Fernanda Vasconcelos</t>
        </is>
      </c>
      <c r="K546" s="7" t="inlineStr">
        <is>
          <t>A03</t>
        </is>
      </c>
      <c r="L546" s="7">
        <f>IF(H546=0, "Correto", "Divergente")</f>
        <v/>
      </c>
    </row>
    <row r="547">
      <c r="A547" s="8" t="n">
        <v>546</v>
      </c>
      <c r="B547" s="8" t="n">
        <v>69</v>
      </c>
      <c r="C547" s="9" t="inlineStr">
        <is>
          <t>Mochila para Notebook 15.6" (Modelo 10)</t>
        </is>
      </c>
      <c r="D547" s="9" t="inlineStr">
        <is>
          <t>Acessórios</t>
        </is>
      </c>
      <c r="E547" s="10" t="inlineStr">
        <is>
          <t>2026-02-16</t>
        </is>
      </c>
      <c r="F547" s="11" t="n">
        <v>2923</v>
      </c>
      <c r="G547" s="11" t="n">
        <v>2990</v>
      </c>
      <c r="H547" s="11">
        <f>G547-F547</f>
        <v/>
      </c>
      <c r="I547" s="12">
        <f>H547/F547</f>
        <v/>
      </c>
      <c r="J547" s="9" t="inlineStr">
        <is>
          <t>Patricia Prado</t>
        </is>
      </c>
      <c r="K547" s="13" t="inlineStr">
        <is>
          <t>Depósito Externo</t>
        </is>
      </c>
      <c r="L547" s="13">
        <f>IF(H547=0, "Correto", "Divergente")</f>
        <v/>
      </c>
    </row>
    <row r="548">
      <c r="A548" s="2" t="n">
        <v>547</v>
      </c>
      <c r="B548" s="2" t="n">
        <v>150</v>
      </c>
      <c r="C548" s="3" t="inlineStr">
        <is>
          <t>Cooler para Processador 120mm (Modelo 1)</t>
        </is>
      </c>
      <c r="D548" s="3" t="inlineStr">
        <is>
          <t>Componentes</t>
        </is>
      </c>
      <c r="E548" s="4" t="inlineStr">
        <is>
          <t>2026-01-06</t>
        </is>
      </c>
      <c r="F548" s="5" t="n">
        <v>812</v>
      </c>
      <c r="G548" s="5" t="n">
        <v>812</v>
      </c>
      <c r="H548" s="5">
        <f>G548-F548</f>
        <v/>
      </c>
      <c r="I548" s="6">
        <f>H548/F548</f>
        <v/>
      </c>
      <c r="J548" s="3" t="inlineStr">
        <is>
          <t>Ricardo Mendes</t>
        </is>
      </c>
      <c r="K548" s="7" t="inlineStr">
        <is>
          <t>C01</t>
        </is>
      </c>
      <c r="L548" s="7">
        <f>IF(H548=0, "Correto", "Divergente")</f>
        <v/>
      </c>
    </row>
    <row r="549">
      <c r="A549" s="8" t="n">
        <v>548</v>
      </c>
      <c r="B549" s="8" t="n">
        <v>76</v>
      </c>
      <c r="C549" s="9" t="inlineStr">
        <is>
          <t>HD Externo Portátil 2TB (Modelo 2)</t>
        </is>
      </c>
      <c r="D549" s="9" t="inlineStr">
        <is>
          <t>Armazenamento</t>
        </is>
      </c>
      <c r="E549" s="10" t="inlineStr">
        <is>
          <t>2025-05-13</t>
        </is>
      </c>
      <c r="F549" s="11" t="n">
        <v>1046</v>
      </c>
      <c r="G549" s="11" t="n">
        <v>1046</v>
      </c>
      <c r="H549" s="11">
        <f>G549-F549</f>
        <v/>
      </c>
      <c r="I549" s="12">
        <f>H549/F549</f>
        <v/>
      </c>
      <c r="J549" s="9" t="inlineStr">
        <is>
          <t>Carlos Eduardo Rocha</t>
        </is>
      </c>
      <c r="K549" s="13" t="inlineStr">
        <is>
          <t>C02</t>
        </is>
      </c>
      <c r="L549" s="13">
        <f>IF(H549=0, "Correto", "Divergente")</f>
        <v/>
      </c>
    </row>
    <row r="550">
      <c r="A550" s="2" t="n">
        <v>549</v>
      </c>
      <c r="B550" s="2" t="n">
        <v>120</v>
      </c>
      <c r="C550" s="3" t="inlineStr">
        <is>
          <t>Cooler para Processador 120mm (Modelo 1)</t>
        </is>
      </c>
      <c r="D550" s="3" t="inlineStr">
        <is>
          <t>Componentes</t>
        </is>
      </c>
      <c r="E550" s="4" t="inlineStr">
        <is>
          <t>2024-09-19</t>
        </is>
      </c>
      <c r="F550" s="5" t="n">
        <v>2618</v>
      </c>
      <c r="G550" s="5" t="n">
        <v>2653</v>
      </c>
      <c r="H550" s="5">
        <f>G550-F550</f>
        <v/>
      </c>
      <c r="I550" s="6">
        <f>H550/F550</f>
        <v/>
      </c>
      <c r="J550" s="3" t="inlineStr">
        <is>
          <t>Beatriz Castilho</t>
        </is>
      </c>
      <c r="K550" s="7" t="inlineStr">
        <is>
          <t>A01</t>
        </is>
      </c>
      <c r="L550" s="7">
        <f>IF(H550=0, "Correto", "Divergente")</f>
        <v/>
      </c>
    </row>
    <row r="551">
      <c r="A551" s="8" t="n">
        <v>550</v>
      </c>
      <c r="B551" s="8" t="n">
        <v>154</v>
      </c>
      <c r="C551" s="9" t="inlineStr">
        <is>
          <t>Toner HP Preto Original (Modelo 5)</t>
        </is>
      </c>
      <c r="D551" s="9" t="inlineStr">
        <is>
          <t>Impressão</t>
        </is>
      </c>
      <c r="E551" s="10" t="inlineStr">
        <is>
          <t>2024-04-29</t>
        </is>
      </c>
      <c r="F551" s="11" t="n">
        <v>264</v>
      </c>
      <c r="G551" s="11" t="n">
        <v>268</v>
      </c>
      <c r="H551" s="11">
        <f>G551-F551</f>
        <v/>
      </c>
      <c r="I551" s="12">
        <f>H551/F551</f>
        <v/>
      </c>
      <c r="J551" s="9" t="inlineStr">
        <is>
          <t>Fernanda Vasconcelos</t>
        </is>
      </c>
      <c r="K551" s="13" t="inlineStr">
        <is>
          <t>A01</t>
        </is>
      </c>
      <c r="L551" s="13">
        <f>IF(H551=0, "Correto", "Divergente")</f>
        <v/>
      </c>
    </row>
    <row r="552">
      <c r="A552" s="2" t="n">
        <v>551</v>
      </c>
      <c r="B552" s="2" t="n">
        <v>55</v>
      </c>
      <c r="C552" s="3" t="inlineStr">
        <is>
          <t>Headset USB com Cancelamento de Ruído (Modelo 11)</t>
        </is>
      </c>
      <c r="D552" s="3" t="inlineStr">
        <is>
          <t>Áudio</t>
        </is>
      </c>
      <c r="E552" s="4" t="inlineStr">
        <is>
          <t>2025-08-16</t>
        </is>
      </c>
      <c r="F552" s="5" t="n">
        <v>3023</v>
      </c>
      <c r="G552" s="5" t="n">
        <v>3023</v>
      </c>
      <c r="H552" s="5">
        <f>G552-F552</f>
        <v/>
      </c>
      <c r="I552" s="6">
        <f>H552/F552</f>
        <v/>
      </c>
      <c r="J552" s="3" t="inlineStr">
        <is>
          <t>Fernanda Vasconcelos</t>
        </is>
      </c>
      <c r="K552" s="7" t="inlineStr">
        <is>
          <t>B03</t>
        </is>
      </c>
      <c r="L552" s="7">
        <f>IF(H552=0, "Correto", "Divergente")</f>
        <v/>
      </c>
    </row>
    <row r="553">
      <c r="A553" s="8" t="n">
        <v>552</v>
      </c>
      <c r="B553" s="8" t="n">
        <v>39</v>
      </c>
      <c r="C553" s="9" t="inlineStr">
        <is>
          <t>Nobreak 1200VA Bivolt (Modelo 10)</t>
        </is>
      </c>
      <c r="D553" s="9" t="inlineStr">
        <is>
          <t>Acessórios</t>
        </is>
      </c>
      <c r="E553" s="10" t="inlineStr">
        <is>
          <t>2026-07-04</t>
        </is>
      </c>
      <c r="F553" s="11" t="n">
        <v>2814</v>
      </c>
      <c r="G553" s="11" t="n">
        <v>2814</v>
      </c>
      <c r="H553" s="11">
        <f>G553-F553</f>
        <v/>
      </c>
      <c r="I553" s="12">
        <f>H553/F553</f>
        <v/>
      </c>
      <c r="J553" s="9" t="inlineStr">
        <is>
          <t>Patricia Prado</t>
        </is>
      </c>
      <c r="K553" s="13" t="inlineStr">
        <is>
          <t>C02</t>
        </is>
      </c>
      <c r="L553" s="13">
        <f>IF(H553=0, "Correto", "Divergente")</f>
        <v/>
      </c>
    </row>
    <row r="554">
      <c r="A554" s="2" t="n">
        <v>553</v>
      </c>
      <c r="B554" s="2" t="n">
        <v>51</v>
      </c>
      <c r="C554" s="3" t="inlineStr">
        <is>
          <t>Desktop Core i5 8GB (Modelo 7)</t>
        </is>
      </c>
      <c r="D554" s="3" t="inlineStr">
        <is>
          <t>Informática</t>
        </is>
      </c>
      <c r="E554" s="4" t="inlineStr">
        <is>
          <t>2025-07-08</t>
        </is>
      </c>
      <c r="F554" s="5" t="n">
        <v>2254</v>
      </c>
      <c r="G554" s="5" t="n">
        <v>2234</v>
      </c>
      <c r="H554" s="5">
        <f>G554-F554</f>
        <v/>
      </c>
      <c r="I554" s="6">
        <f>H554/F554</f>
        <v/>
      </c>
      <c r="J554" s="3" t="inlineStr">
        <is>
          <t>Mariana Alcantara</t>
        </is>
      </c>
      <c r="K554" s="7" t="inlineStr">
        <is>
          <t>B02</t>
        </is>
      </c>
      <c r="L554" s="7">
        <f>IF(H554=0, "Correto", "Divergente")</f>
        <v/>
      </c>
    </row>
    <row r="555">
      <c r="A555" s="8" t="n">
        <v>554</v>
      </c>
      <c r="B555" s="8" t="n">
        <v>189</v>
      </c>
      <c r="C555" s="9" t="inlineStr">
        <is>
          <t>Mousepad Extra Grande (Modelo 10)</t>
        </is>
      </c>
      <c r="D555" s="9" t="inlineStr">
        <is>
          <t>Acessórios</t>
        </is>
      </c>
      <c r="E555" s="10" t="inlineStr">
        <is>
          <t>2025-03-16</t>
        </is>
      </c>
      <c r="F555" s="11" t="n">
        <v>4201</v>
      </c>
      <c r="G555" s="11" t="n">
        <v>4201</v>
      </c>
      <c r="H555" s="11">
        <f>G555-F555</f>
        <v/>
      </c>
      <c r="I555" s="12">
        <f>H555/F555</f>
        <v/>
      </c>
      <c r="J555" s="9" t="inlineStr">
        <is>
          <t>Camila Azevedo</t>
        </is>
      </c>
      <c r="K555" s="13" t="inlineStr">
        <is>
          <t>C01</t>
        </is>
      </c>
      <c r="L555" s="13">
        <f>IF(H555=0, "Correto", "Divergente")</f>
        <v/>
      </c>
    </row>
    <row r="556">
      <c r="A556" s="2" t="n">
        <v>555</v>
      </c>
      <c r="B556" s="2" t="n">
        <v>70</v>
      </c>
      <c r="C556" s="3" t="inlineStr">
        <is>
          <t>Fonte Atx 500W 80 Plus (Modelo 11)</t>
        </is>
      </c>
      <c r="D556" s="3" t="inlineStr">
        <is>
          <t>Componentes</t>
        </is>
      </c>
      <c r="E556" s="4" t="inlineStr">
        <is>
          <t>2024-06-03</t>
        </is>
      </c>
      <c r="F556" s="5" t="n">
        <v>289</v>
      </c>
      <c r="G556" s="5" t="n">
        <v>289</v>
      </c>
      <c r="H556" s="5">
        <f>G556-F556</f>
        <v/>
      </c>
      <c r="I556" s="6">
        <f>H556/F556</f>
        <v/>
      </c>
      <c r="J556" s="3" t="inlineStr">
        <is>
          <t>Ricardo Mendes</t>
        </is>
      </c>
      <c r="K556" s="7" t="inlineStr">
        <is>
          <t>A01</t>
        </is>
      </c>
      <c r="L556" s="7">
        <f>IF(H556=0, "Correto", "Divergente")</f>
        <v/>
      </c>
    </row>
    <row r="557">
      <c r="A557" s="8" t="n">
        <v>556</v>
      </c>
      <c r="B557" s="8" t="n">
        <v>121</v>
      </c>
      <c r="C557" s="9" t="inlineStr">
        <is>
          <t>Notebook Corporate i5 16GB (Modelo 2)</t>
        </is>
      </c>
      <c r="D557" s="9" t="inlineStr">
        <is>
          <t>Informática</t>
        </is>
      </c>
      <c r="E557" s="10" t="inlineStr">
        <is>
          <t>2025-11-17</t>
        </is>
      </c>
      <c r="F557" s="11" t="n">
        <v>821</v>
      </c>
      <c r="G557" s="11" t="n">
        <v>821</v>
      </c>
      <c r="H557" s="11">
        <f>G557-F557</f>
        <v/>
      </c>
      <c r="I557" s="12">
        <f>H557/F557</f>
        <v/>
      </c>
      <c r="J557" s="9" t="inlineStr">
        <is>
          <t>Marcelo Fontes</t>
        </is>
      </c>
      <c r="K557" s="13" t="inlineStr">
        <is>
          <t>A01</t>
        </is>
      </c>
      <c r="L557" s="13">
        <f>IF(H557=0, "Correto", "Divergente")</f>
        <v/>
      </c>
    </row>
    <row r="558">
      <c r="A558" s="2" t="n">
        <v>557</v>
      </c>
      <c r="B558" s="2" t="n">
        <v>136</v>
      </c>
      <c r="C558" s="3" t="inlineStr">
        <is>
          <t>HD Externo Portátil 2TB (Modelo 2)</t>
        </is>
      </c>
      <c r="D558" s="3" t="inlineStr">
        <is>
          <t>Armazenamento</t>
        </is>
      </c>
      <c r="E558" s="4" t="inlineStr">
        <is>
          <t>2025-11-27</t>
        </is>
      </c>
      <c r="F558" s="5" t="n">
        <v>3533</v>
      </c>
      <c r="G558" s="5" t="n">
        <v>3533</v>
      </c>
      <c r="H558" s="5">
        <f>G558-F558</f>
        <v/>
      </c>
      <c r="I558" s="6">
        <f>H558/F558</f>
        <v/>
      </c>
      <c r="J558" s="3" t="inlineStr">
        <is>
          <t>Camila Azevedo</t>
        </is>
      </c>
      <c r="K558" s="7" t="inlineStr">
        <is>
          <t>A01</t>
        </is>
      </c>
      <c r="L558" s="7">
        <f>IF(H558=0, "Correto", "Divergente")</f>
        <v/>
      </c>
    </row>
    <row r="559">
      <c r="A559" s="8" t="n">
        <v>558</v>
      </c>
      <c r="B559" s="8" t="n">
        <v>61</v>
      </c>
      <c r="C559" s="9" t="inlineStr">
        <is>
          <t>Mini PC Ryzen 5 (Modelo 2)</t>
        </is>
      </c>
      <c r="D559" s="9" t="inlineStr">
        <is>
          <t>Informática</t>
        </is>
      </c>
      <c r="E559" s="10" t="inlineStr">
        <is>
          <t>2026-02-14</t>
        </is>
      </c>
      <c r="F559" s="11" t="n">
        <v>1947</v>
      </c>
      <c r="G559" s="11" t="n">
        <v>1947</v>
      </c>
      <c r="H559" s="11">
        <f>G559-F559</f>
        <v/>
      </c>
      <c r="I559" s="12">
        <f>H559/F559</f>
        <v/>
      </c>
      <c r="J559" s="9" t="inlineStr">
        <is>
          <t>Beatriz Castilho</t>
        </is>
      </c>
      <c r="K559" s="13" t="inlineStr">
        <is>
          <t>B02</t>
        </is>
      </c>
      <c r="L559" s="13">
        <f>IF(H559=0, "Correto", "Divergente")</f>
        <v/>
      </c>
    </row>
    <row r="560">
      <c r="A560" s="2" t="n">
        <v>559</v>
      </c>
      <c r="B560" s="2" t="n">
        <v>111</v>
      </c>
      <c r="C560" s="3" t="inlineStr">
        <is>
          <t>Chromebook 11.6" (Modelo 7)</t>
        </is>
      </c>
      <c r="D560" s="3" t="inlineStr">
        <is>
          <t>Informática</t>
        </is>
      </c>
      <c r="E560" s="4" t="inlineStr">
        <is>
          <t>2024-11-04</t>
        </is>
      </c>
      <c r="F560" s="5" t="n">
        <v>3376</v>
      </c>
      <c r="G560" s="5" t="n">
        <v>3376</v>
      </c>
      <c r="H560" s="5">
        <f>G560-F560</f>
        <v/>
      </c>
      <c r="I560" s="6">
        <f>H560/F560</f>
        <v/>
      </c>
      <c r="J560" s="3" t="inlineStr">
        <is>
          <t>Beatriz Castilho</t>
        </is>
      </c>
      <c r="K560" s="7" t="inlineStr">
        <is>
          <t>C02</t>
        </is>
      </c>
      <c r="L560" s="7">
        <f>IF(H560=0, "Correto", "Divergente")</f>
        <v/>
      </c>
    </row>
    <row r="561">
      <c r="A561" s="8" t="n">
        <v>560</v>
      </c>
      <c r="B561" s="8" t="n">
        <v>33</v>
      </c>
      <c r="C561" s="9" t="inlineStr">
        <is>
          <t>Monitor 27" Curvo 144Hz (Modelo 4)</t>
        </is>
      </c>
      <c r="D561" s="9" t="inlineStr">
        <is>
          <t>Monitores</t>
        </is>
      </c>
      <c r="E561" s="10" t="inlineStr">
        <is>
          <t>2024-08-12</t>
        </is>
      </c>
      <c r="F561" s="11" t="n">
        <v>1710</v>
      </c>
      <c r="G561" s="11" t="n">
        <v>1710</v>
      </c>
      <c r="H561" s="11">
        <f>G561-F561</f>
        <v/>
      </c>
      <c r="I561" s="12">
        <f>H561/F561</f>
        <v/>
      </c>
      <c r="J561" s="9" t="inlineStr">
        <is>
          <t>Mariana Alcantara</t>
        </is>
      </c>
      <c r="K561" s="13" t="inlineStr">
        <is>
          <t>C01</t>
        </is>
      </c>
      <c r="L561" s="13">
        <f>IF(H561=0, "Correto", "Divergente")</f>
        <v/>
      </c>
    </row>
    <row r="562">
      <c r="A562" s="2" t="n">
        <v>561</v>
      </c>
      <c r="B562" s="2" t="n">
        <v>166</v>
      </c>
      <c r="C562" s="3" t="inlineStr">
        <is>
          <t>HD Externo Portátil 2TB (Modelo 2)</t>
        </is>
      </c>
      <c r="D562" s="3" t="inlineStr">
        <is>
          <t>Armazenamento</t>
        </is>
      </c>
      <c r="E562" s="4" t="inlineStr">
        <is>
          <t>2024-08-19</t>
        </is>
      </c>
      <c r="F562" s="5" t="n">
        <v>3335</v>
      </c>
      <c r="G562" s="5" t="n">
        <v>3335</v>
      </c>
      <c r="H562" s="5">
        <f>G562-F562</f>
        <v/>
      </c>
      <c r="I562" s="6">
        <f>H562/F562</f>
        <v/>
      </c>
      <c r="J562" s="3" t="inlineStr">
        <is>
          <t>Beatriz Castilho</t>
        </is>
      </c>
      <c r="K562" s="7" t="inlineStr">
        <is>
          <t>A01</t>
        </is>
      </c>
      <c r="L562" s="7">
        <f>IF(H562=0, "Correto", "Divergente")</f>
        <v/>
      </c>
    </row>
    <row r="563">
      <c r="A563" s="8" t="n">
        <v>562</v>
      </c>
      <c r="B563" s="8" t="n">
        <v>87</v>
      </c>
      <c r="C563" s="9" t="inlineStr">
        <is>
          <t>Tablet 10.1" Wi-Fi 64GB (Modelo 13)</t>
        </is>
      </c>
      <c r="D563" s="9" t="inlineStr">
        <is>
          <t>Smartphones</t>
        </is>
      </c>
      <c r="E563" s="10" t="inlineStr">
        <is>
          <t>2024-10-23</t>
        </is>
      </c>
      <c r="F563" s="11" t="n">
        <v>3342</v>
      </c>
      <c r="G563" s="11" t="n">
        <v>3342</v>
      </c>
      <c r="H563" s="11">
        <f>G563-F563</f>
        <v/>
      </c>
      <c r="I563" s="12">
        <f>H563/F563</f>
        <v/>
      </c>
      <c r="J563" s="9" t="inlineStr">
        <is>
          <t>Mariana Alcantara</t>
        </is>
      </c>
      <c r="K563" s="13" t="inlineStr">
        <is>
          <t>C02</t>
        </is>
      </c>
      <c r="L563" s="13">
        <f>IF(H563=0, "Correto", "Divergente")</f>
        <v/>
      </c>
    </row>
    <row r="564">
      <c r="A564" s="2" t="n">
        <v>563</v>
      </c>
      <c r="B564" s="2" t="n">
        <v>14</v>
      </c>
      <c r="C564" s="3" t="inlineStr">
        <is>
          <t>Multifuncional Tanque de Tinta (Modelo 15)</t>
        </is>
      </c>
      <c r="D564" s="3" t="inlineStr">
        <is>
          <t>Impressão</t>
        </is>
      </c>
      <c r="E564" s="4" t="inlineStr">
        <is>
          <t>2025-04-01</t>
        </is>
      </c>
      <c r="F564" s="5" t="n">
        <v>1966</v>
      </c>
      <c r="G564" s="5" t="n">
        <v>1966</v>
      </c>
      <c r="H564" s="5">
        <f>G564-F564</f>
        <v/>
      </c>
      <c r="I564" s="6">
        <f>H564/F564</f>
        <v/>
      </c>
      <c r="J564" s="3" t="inlineStr">
        <is>
          <t>Gustavo Silveira</t>
        </is>
      </c>
      <c r="K564" s="7" t="inlineStr">
        <is>
          <t>Depósito Externo</t>
        </is>
      </c>
      <c r="L564" s="7">
        <f>IF(H564=0, "Correto", "Divergente")</f>
        <v/>
      </c>
    </row>
    <row r="565">
      <c r="A565" s="8" t="n">
        <v>564</v>
      </c>
      <c r="B565" s="8" t="n">
        <v>170</v>
      </c>
      <c r="C565" s="9" t="inlineStr">
        <is>
          <t>Memória RAM DDR4 16GB 3200MHz (Modelo 6)</t>
        </is>
      </c>
      <c r="D565" s="9" t="inlineStr">
        <is>
          <t>Componentes</t>
        </is>
      </c>
      <c r="E565" s="10" t="inlineStr">
        <is>
          <t>2026-03-14</t>
        </is>
      </c>
      <c r="F565" s="11" t="n">
        <v>2923</v>
      </c>
      <c r="G565" s="11" t="n">
        <v>2923</v>
      </c>
      <c r="H565" s="11">
        <f>G565-F565</f>
        <v/>
      </c>
      <c r="I565" s="12">
        <f>H565/F565</f>
        <v/>
      </c>
      <c r="J565" s="9" t="inlineStr">
        <is>
          <t>Gustavo Silveira</t>
        </is>
      </c>
      <c r="K565" s="13" t="inlineStr">
        <is>
          <t>B02</t>
        </is>
      </c>
      <c r="L565" s="13">
        <f>IF(H565=0, "Correto", "Divergente")</f>
        <v/>
      </c>
    </row>
    <row r="566">
      <c r="A566" s="2" t="n">
        <v>565</v>
      </c>
      <c r="B566" s="2" t="n">
        <v>142</v>
      </c>
      <c r="C566" s="3" t="inlineStr">
        <is>
          <t>Teclado Sem Fio Ergológico (Modelo 8)</t>
        </is>
      </c>
      <c r="D566" s="3" t="inlineStr">
        <is>
          <t>Periféricos</t>
        </is>
      </c>
      <c r="E566" s="4" t="inlineStr">
        <is>
          <t>2024-10-03</t>
        </is>
      </c>
      <c r="F566" s="5" t="n">
        <v>1567</v>
      </c>
      <c r="G566" s="5" t="n">
        <v>1567</v>
      </c>
      <c r="H566" s="5">
        <f>G566-F566</f>
        <v/>
      </c>
      <c r="I566" s="6">
        <f>H566/F566</f>
        <v/>
      </c>
      <c r="J566" s="3" t="inlineStr">
        <is>
          <t>Gustavo Silveira</t>
        </is>
      </c>
      <c r="K566" s="7" t="inlineStr">
        <is>
          <t>C03</t>
        </is>
      </c>
      <c r="L566" s="7">
        <f>IF(H566=0, "Correto", "Divergente")</f>
        <v/>
      </c>
    </row>
    <row r="567">
      <c r="A567" s="8" t="n">
        <v>566</v>
      </c>
      <c r="B567" s="8" t="n">
        <v>85</v>
      </c>
      <c r="C567" s="9" t="inlineStr">
        <is>
          <t>Headset USB com Cancelamento de Ruído (Modelo 11)</t>
        </is>
      </c>
      <c r="D567" s="9" t="inlineStr">
        <is>
          <t>Áudio</t>
        </is>
      </c>
      <c r="E567" s="10" t="inlineStr">
        <is>
          <t>2025-03-16</t>
        </is>
      </c>
      <c r="F567" s="11" t="n">
        <v>2339</v>
      </c>
      <c r="G567" s="11" t="n">
        <v>2432</v>
      </c>
      <c r="H567" s="11">
        <f>G567-F567</f>
        <v/>
      </c>
      <c r="I567" s="12">
        <f>H567/F567</f>
        <v/>
      </c>
      <c r="J567" s="9" t="inlineStr">
        <is>
          <t>Patricia Prado</t>
        </is>
      </c>
      <c r="K567" s="13" t="inlineStr">
        <is>
          <t>B03</t>
        </is>
      </c>
      <c r="L567" s="13">
        <f>IF(H567=0, "Correto", "Divergente")</f>
        <v/>
      </c>
    </row>
    <row r="568">
      <c r="A568" s="2" t="n">
        <v>567</v>
      </c>
      <c r="B568" s="2" t="n">
        <v>93</v>
      </c>
      <c r="C568" s="3" t="inlineStr">
        <is>
          <t>Monitor 27" Curvo 144Hz (Modelo 4)</t>
        </is>
      </c>
      <c r="D568" s="3" t="inlineStr">
        <is>
          <t>Monitores</t>
        </is>
      </c>
      <c r="E568" s="4" t="inlineStr">
        <is>
          <t>2026-03-11</t>
        </is>
      </c>
      <c r="F568" s="5" t="n">
        <v>345</v>
      </c>
      <c r="G568" s="5" t="n">
        <v>341</v>
      </c>
      <c r="H568" s="5">
        <f>G568-F568</f>
        <v/>
      </c>
      <c r="I568" s="6">
        <f>H568/F568</f>
        <v/>
      </c>
      <c r="J568" s="3" t="inlineStr">
        <is>
          <t>Ricardo Mendes</t>
        </is>
      </c>
      <c r="K568" s="7" t="inlineStr">
        <is>
          <t>Depósito Externo</t>
        </is>
      </c>
      <c r="L568" s="7">
        <f>IF(H568=0, "Correto", "Divergente")</f>
        <v/>
      </c>
    </row>
    <row r="569">
      <c r="A569" s="8" t="n">
        <v>568</v>
      </c>
      <c r="B569" s="8" t="n">
        <v>107</v>
      </c>
      <c r="C569" s="9" t="inlineStr">
        <is>
          <t>Capa Protetora para Tablet (Modelo 3)</t>
        </is>
      </c>
      <c r="D569" s="9" t="inlineStr">
        <is>
          <t>Smartphones</t>
        </is>
      </c>
      <c r="E569" s="10" t="inlineStr">
        <is>
          <t>2024-03-16</t>
        </is>
      </c>
      <c r="F569" s="11" t="n">
        <v>1305</v>
      </c>
      <c r="G569" s="11" t="n">
        <v>1305</v>
      </c>
      <c r="H569" s="11">
        <f>G569-F569</f>
        <v/>
      </c>
      <c r="I569" s="12">
        <f>H569/F569</f>
        <v/>
      </c>
      <c r="J569" s="9" t="inlineStr">
        <is>
          <t>Roberto Fernandes</t>
        </is>
      </c>
      <c r="K569" s="13" t="inlineStr">
        <is>
          <t>Depósito Externo</t>
        </is>
      </c>
      <c r="L569" s="13">
        <f>IF(H569=0, "Correto", "Divergente")</f>
        <v/>
      </c>
    </row>
    <row r="570">
      <c r="A570" s="2" t="n">
        <v>569</v>
      </c>
      <c r="B570" s="2" t="n">
        <v>99</v>
      </c>
      <c r="C570" s="3" t="inlineStr">
        <is>
          <t>Cabo HDMI 2.0 2 metros (Modelo 10)</t>
        </is>
      </c>
      <c r="D570" s="3" t="inlineStr">
        <is>
          <t>Acessórios</t>
        </is>
      </c>
      <c r="E570" s="4" t="inlineStr">
        <is>
          <t>2024-06-03</t>
        </is>
      </c>
      <c r="F570" s="5" t="n">
        <v>1931</v>
      </c>
      <c r="G570" s="5" t="n">
        <v>1931</v>
      </c>
      <c r="H570" s="5">
        <f>G570-F570</f>
        <v/>
      </c>
      <c r="I570" s="6">
        <f>H570/F570</f>
        <v/>
      </c>
      <c r="J570" s="3" t="inlineStr">
        <is>
          <t>Marcelo Fontes</t>
        </is>
      </c>
      <c r="K570" s="7" t="inlineStr">
        <is>
          <t>B03</t>
        </is>
      </c>
      <c r="L570" s="7">
        <f>IF(H570=0, "Correto", "Divergente")</f>
        <v/>
      </c>
    </row>
    <row r="571">
      <c r="A571" s="8" t="n">
        <v>570</v>
      </c>
      <c r="B571" s="8" t="n">
        <v>163</v>
      </c>
      <c r="C571" s="9" t="inlineStr">
        <is>
          <t>Monitor LED 21.5" Full HD (Modelo 14)</t>
        </is>
      </c>
      <c r="D571" s="9" t="inlineStr">
        <is>
          <t>Monitores</t>
        </is>
      </c>
      <c r="E571" s="10" t="inlineStr">
        <is>
          <t>2026-09-22</t>
        </is>
      </c>
      <c r="F571" s="11" t="n">
        <v>628</v>
      </c>
      <c r="G571" s="11" t="n">
        <v>653</v>
      </c>
      <c r="H571" s="11">
        <f>G571-F571</f>
        <v/>
      </c>
      <c r="I571" s="12">
        <f>H571/F571</f>
        <v/>
      </c>
      <c r="J571" s="9" t="inlineStr">
        <is>
          <t>Ricardo Mendes</t>
        </is>
      </c>
      <c r="K571" s="13" t="inlineStr">
        <is>
          <t>A03</t>
        </is>
      </c>
      <c r="L571" s="13">
        <f>IF(H571=0, "Correto", "Divergente")</f>
        <v/>
      </c>
    </row>
    <row r="572">
      <c r="A572" s="2" t="n">
        <v>571</v>
      </c>
      <c r="B572" s="2" t="n">
        <v>66</v>
      </c>
      <c r="C572" s="3" t="inlineStr">
        <is>
          <t>Cartão de Memória MicroSD 128GB (Modelo 7)</t>
        </is>
      </c>
      <c r="D572" s="3" t="inlineStr">
        <is>
          <t>Armazenamento</t>
        </is>
      </c>
      <c r="E572" s="4" t="inlineStr">
        <is>
          <t>2024-08-30</t>
        </is>
      </c>
      <c r="F572" s="5" t="n">
        <v>4480</v>
      </c>
      <c r="G572" s="5" t="n">
        <v>4480</v>
      </c>
      <c r="H572" s="5">
        <f>G572-F572</f>
        <v/>
      </c>
      <c r="I572" s="6">
        <f>H572/F572</f>
        <v/>
      </c>
      <c r="J572" s="3" t="inlineStr">
        <is>
          <t>Patricia Prado</t>
        </is>
      </c>
      <c r="K572" s="7" t="inlineStr">
        <is>
          <t>C03</t>
        </is>
      </c>
      <c r="L572" s="7">
        <f>IF(H572=0, "Correto", "Divergente")</f>
        <v/>
      </c>
    </row>
    <row r="573">
      <c r="A573" s="8" t="n">
        <v>572</v>
      </c>
      <c r="B573" s="8" t="n">
        <v>96</v>
      </c>
      <c r="C573" s="9" t="inlineStr">
        <is>
          <t>Cartão de Memória MicroSD 128GB (Modelo 7)</t>
        </is>
      </c>
      <c r="D573" s="9" t="inlineStr">
        <is>
          <t>Armazenamento</t>
        </is>
      </c>
      <c r="E573" s="10" t="inlineStr">
        <is>
          <t>2025-11-21</t>
        </is>
      </c>
      <c r="F573" s="11" t="n">
        <v>1400</v>
      </c>
      <c r="G573" s="11" t="n">
        <v>1365</v>
      </c>
      <c r="H573" s="11">
        <f>G573-F573</f>
        <v/>
      </c>
      <c r="I573" s="12">
        <f>H573/F573</f>
        <v/>
      </c>
      <c r="J573" s="9" t="inlineStr">
        <is>
          <t>Marcelo Fontes</t>
        </is>
      </c>
      <c r="K573" s="13" t="inlineStr">
        <is>
          <t>B03</t>
        </is>
      </c>
      <c r="L573" s="13">
        <f>IF(H573=0, "Correto", "Divergente")</f>
        <v/>
      </c>
    </row>
    <row r="574">
      <c r="A574" s="2" t="n">
        <v>573</v>
      </c>
      <c r="B574" s="2" t="n">
        <v>49</v>
      </c>
      <c r="C574" s="3" t="inlineStr">
        <is>
          <t>Mousepad Extra Grande (Modelo 5)</t>
        </is>
      </c>
      <c r="D574" s="3" t="inlineStr">
        <is>
          <t>Acessórios</t>
        </is>
      </c>
      <c r="E574" s="4" t="inlineStr">
        <is>
          <t>2025-11-12</t>
        </is>
      </c>
      <c r="F574" s="5" t="n">
        <v>4781</v>
      </c>
      <c r="G574" s="5" t="n">
        <v>5328</v>
      </c>
      <c r="H574" s="5">
        <f>G574-F574</f>
        <v/>
      </c>
      <c r="I574" s="6">
        <f>H574/F574</f>
        <v/>
      </c>
      <c r="J574" s="3" t="inlineStr">
        <is>
          <t>Fernanda Vasconcelos</t>
        </is>
      </c>
      <c r="K574" s="7" t="inlineStr">
        <is>
          <t>A03</t>
        </is>
      </c>
      <c r="L574" s="7">
        <f>IF(H574=0, "Correto", "Divergente")</f>
        <v/>
      </c>
    </row>
    <row r="575">
      <c r="A575" s="8" t="n">
        <v>574</v>
      </c>
      <c r="B575" s="8" t="n">
        <v>36</v>
      </c>
      <c r="C575" s="9" t="inlineStr">
        <is>
          <t>Cartão de Memória MicroSD 128GB (Modelo 7)</t>
        </is>
      </c>
      <c r="D575" s="9" t="inlineStr">
        <is>
          <t>Armazenamento</t>
        </is>
      </c>
      <c r="E575" s="10" t="inlineStr">
        <is>
          <t>2026-02-11</t>
        </is>
      </c>
      <c r="F575" s="11" t="n">
        <v>1759</v>
      </c>
      <c r="G575" s="11" t="n">
        <v>1759</v>
      </c>
      <c r="H575" s="11">
        <f>G575-F575</f>
        <v/>
      </c>
      <c r="I575" s="12">
        <f>H575/F575</f>
        <v/>
      </c>
      <c r="J575" s="9" t="inlineStr">
        <is>
          <t>Camila Azevedo</t>
        </is>
      </c>
      <c r="K575" s="13" t="inlineStr">
        <is>
          <t>B03</t>
        </is>
      </c>
      <c r="L575" s="13">
        <f>IF(H575=0, "Correto", "Divergente")</f>
        <v/>
      </c>
    </row>
    <row r="576">
      <c r="A576" s="2" t="n">
        <v>575</v>
      </c>
      <c r="B576" s="2" t="n">
        <v>26</v>
      </c>
      <c r="C576" s="3" t="inlineStr">
        <is>
          <t>SSD NVMe 1TB M.2 (Modelo 12)</t>
        </is>
      </c>
      <c r="D576" s="3" t="inlineStr">
        <is>
          <t>Armazenamento</t>
        </is>
      </c>
      <c r="E576" s="4" t="inlineStr">
        <is>
          <t>2024-05-22</t>
        </is>
      </c>
      <c r="F576" s="5" t="n">
        <v>3636</v>
      </c>
      <c r="G576" s="5" t="n">
        <v>3636</v>
      </c>
      <c r="H576" s="5">
        <f>G576-F576</f>
        <v/>
      </c>
      <c r="I576" s="6">
        <f>H576/F576</f>
        <v/>
      </c>
      <c r="J576" s="3" t="inlineStr">
        <is>
          <t>Carlos Eduardo Rocha</t>
        </is>
      </c>
      <c r="K576" s="7" t="inlineStr">
        <is>
          <t>A03</t>
        </is>
      </c>
      <c r="L576" s="7">
        <f>IF(H576=0, "Correto", "Divergente")</f>
        <v/>
      </c>
    </row>
    <row r="577">
      <c r="A577" s="8" t="n">
        <v>576</v>
      </c>
      <c r="B577" s="8" t="n">
        <v>117</v>
      </c>
      <c r="C577" s="9" t="inlineStr">
        <is>
          <t>Tablet 10.1" Wi-Fi 64GB (Modelo 13)</t>
        </is>
      </c>
      <c r="D577" s="9" t="inlineStr">
        <is>
          <t>Smartphones</t>
        </is>
      </c>
      <c r="E577" s="10" t="inlineStr">
        <is>
          <t>2026-09-21</t>
        </is>
      </c>
      <c r="F577" s="11" t="n">
        <v>2862</v>
      </c>
      <c r="G577" s="11" t="n">
        <v>2577</v>
      </c>
      <c r="H577" s="11">
        <f>G577-F577</f>
        <v/>
      </c>
      <c r="I577" s="12">
        <f>H577/F577</f>
        <v/>
      </c>
      <c r="J577" s="9" t="inlineStr">
        <is>
          <t>Mariana Alcantara</t>
        </is>
      </c>
      <c r="K577" s="13" t="inlineStr">
        <is>
          <t>C01</t>
        </is>
      </c>
      <c r="L577" s="13">
        <f>IF(H577=0, "Correto", "Divergente")</f>
        <v/>
      </c>
    </row>
    <row r="578">
      <c r="A578" s="2" t="n">
        <v>577</v>
      </c>
      <c r="B578" s="2" t="n">
        <v>42</v>
      </c>
      <c r="C578" s="3" t="inlineStr">
        <is>
          <t>Mesa Digitalizadora (Modelo 13)</t>
        </is>
      </c>
      <c r="D578" s="3" t="inlineStr">
        <is>
          <t>Periféricos</t>
        </is>
      </c>
      <c r="E578" s="4" t="inlineStr">
        <is>
          <t>2024-07-03</t>
        </is>
      </c>
      <c r="F578" s="5" t="n">
        <v>2214</v>
      </c>
      <c r="G578" s="5" t="n">
        <v>2289</v>
      </c>
      <c r="H578" s="5">
        <f>G578-F578</f>
        <v/>
      </c>
      <c r="I578" s="6">
        <f>H578/F578</f>
        <v/>
      </c>
      <c r="J578" s="3" t="inlineStr">
        <is>
          <t>Gustavo Silveira</t>
        </is>
      </c>
      <c r="K578" s="7" t="inlineStr">
        <is>
          <t>A02</t>
        </is>
      </c>
      <c r="L578" s="7">
        <f>IF(H578=0, "Correto", "Divergente")</f>
        <v/>
      </c>
    </row>
    <row r="579">
      <c r="A579" s="8" t="n">
        <v>578</v>
      </c>
      <c r="B579" s="8" t="n">
        <v>60</v>
      </c>
      <c r="C579" s="9" t="inlineStr">
        <is>
          <t>Cooler para Processador 120mm (Modelo 1)</t>
        </is>
      </c>
      <c r="D579" s="9" t="inlineStr">
        <is>
          <t>Componentes</t>
        </is>
      </c>
      <c r="E579" s="10" t="inlineStr">
        <is>
          <t>2025-07-29</t>
        </is>
      </c>
      <c r="F579" s="11" t="n">
        <v>1791</v>
      </c>
      <c r="G579" s="11" t="n">
        <v>1791</v>
      </c>
      <c r="H579" s="11">
        <f>G579-F579</f>
        <v/>
      </c>
      <c r="I579" s="12">
        <f>H579/F579</f>
        <v/>
      </c>
      <c r="J579" s="9" t="inlineStr">
        <is>
          <t>Camila Azevedo</t>
        </is>
      </c>
      <c r="K579" s="13" t="inlineStr">
        <is>
          <t>Depósito Externo</t>
        </is>
      </c>
      <c r="L579" s="13">
        <f>IF(H579=0, "Correto", "Divergente")</f>
        <v/>
      </c>
    </row>
    <row r="580">
      <c r="A580" s="2" t="n">
        <v>579</v>
      </c>
      <c r="B580" s="2" t="n">
        <v>148</v>
      </c>
      <c r="C580" s="3" t="inlineStr">
        <is>
          <t>Access Point Wi-Fi Corporativo (Modelo 14)</t>
        </is>
      </c>
      <c r="D580" s="3" t="inlineStr">
        <is>
          <t>Redes</t>
        </is>
      </c>
      <c r="E580" s="4" t="inlineStr">
        <is>
          <t>2025-10-12</t>
        </is>
      </c>
      <c r="F580" s="5" t="n">
        <v>4674</v>
      </c>
      <c r="G580" s="5" t="n">
        <v>4674</v>
      </c>
      <c r="H580" s="5">
        <f>G580-F580</f>
        <v/>
      </c>
      <c r="I580" s="6">
        <f>H580/F580</f>
        <v/>
      </c>
      <c r="J580" s="3" t="inlineStr">
        <is>
          <t>Ricardo Mendes</t>
        </is>
      </c>
      <c r="K580" s="7" t="inlineStr">
        <is>
          <t>C01</t>
        </is>
      </c>
      <c r="L580" s="7">
        <f>IF(H580=0, "Correto", "Divergente")</f>
        <v/>
      </c>
    </row>
    <row r="581">
      <c r="A581" s="8" t="n">
        <v>580</v>
      </c>
      <c r="B581" s="8" t="n">
        <v>39</v>
      </c>
      <c r="C581" s="9" t="inlineStr">
        <is>
          <t>Nobreak 1200VA Bivolt (Modelo 10)</t>
        </is>
      </c>
      <c r="D581" s="9" t="inlineStr">
        <is>
          <t>Acessórios</t>
        </is>
      </c>
      <c r="E581" s="10" t="inlineStr">
        <is>
          <t>2024-03-06</t>
        </is>
      </c>
      <c r="F581" s="11" t="n">
        <v>2949</v>
      </c>
      <c r="G581" s="11" t="n">
        <v>2949</v>
      </c>
      <c r="H581" s="11">
        <f>G581-F581</f>
        <v/>
      </c>
      <c r="I581" s="12">
        <f>H581/F581</f>
        <v/>
      </c>
      <c r="J581" s="9" t="inlineStr">
        <is>
          <t>Ricardo Mendes</t>
        </is>
      </c>
      <c r="K581" s="13" t="inlineStr">
        <is>
          <t>C03</t>
        </is>
      </c>
      <c r="L581" s="13">
        <f>IF(H581=0, "Correto", "Divergente")</f>
        <v/>
      </c>
    </row>
    <row r="582">
      <c r="A582" s="2" t="n">
        <v>581</v>
      </c>
      <c r="B582" s="2" t="n">
        <v>152</v>
      </c>
      <c r="C582" s="3" t="inlineStr">
        <is>
          <t>Combo Teclado e Mouse (Modelo 3)</t>
        </is>
      </c>
      <c r="D582" s="3" t="inlineStr">
        <is>
          <t>Periféricos</t>
        </is>
      </c>
      <c r="E582" s="4" t="inlineStr">
        <is>
          <t>2025-10-24</t>
        </is>
      </c>
      <c r="F582" s="5" t="n">
        <v>4115</v>
      </c>
      <c r="G582" s="5" t="n">
        <v>4115</v>
      </c>
      <c r="H582" s="5">
        <f>G582-F582</f>
        <v/>
      </c>
      <c r="I582" s="6">
        <f>H582/F582</f>
        <v/>
      </c>
      <c r="J582" s="3" t="inlineStr">
        <is>
          <t>Roberto Fernandes</t>
        </is>
      </c>
      <c r="K582" s="7" t="inlineStr">
        <is>
          <t>A03</t>
        </is>
      </c>
      <c r="L582" s="7">
        <f>IF(H582=0, "Correto", "Divergente")</f>
        <v/>
      </c>
    </row>
    <row r="583">
      <c r="A583" s="8" t="n">
        <v>582</v>
      </c>
      <c r="B583" s="8" t="n">
        <v>57</v>
      </c>
      <c r="C583" s="9" t="inlineStr">
        <is>
          <t>Tablet 10.1" Wi-Fi 64GB (Modelo 13)</t>
        </is>
      </c>
      <c r="D583" s="9" t="inlineStr">
        <is>
          <t>Smartphones</t>
        </is>
      </c>
      <c r="E583" s="10" t="inlineStr">
        <is>
          <t>2026-03-06</t>
        </is>
      </c>
      <c r="F583" s="11" t="n">
        <v>819</v>
      </c>
      <c r="G583" s="11" t="n">
        <v>819</v>
      </c>
      <c r="H583" s="11">
        <f>G583-F583</f>
        <v/>
      </c>
      <c r="I583" s="12">
        <f>H583/F583</f>
        <v/>
      </c>
      <c r="J583" s="9" t="inlineStr">
        <is>
          <t>Roberto Fernandes</t>
        </is>
      </c>
      <c r="K583" s="13" t="inlineStr">
        <is>
          <t>B03</t>
        </is>
      </c>
      <c r="L583" s="13">
        <f>IF(H583=0, "Correto", "Divergente")</f>
        <v/>
      </c>
    </row>
    <row r="584">
      <c r="A584" s="2" t="n">
        <v>583</v>
      </c>
      <c r="B584" s="2" t="n">
        <v>135</v>
      </c>
      <c r="C584" s="3" t="inlineStr">
        <is>
          <t>Caixa de Som USB 10W (Modelo 1)</t>
        </is>
      </c>
      <c r="D584" s="3" t="inlineStr">
        <is>
          <t>Áudio</t>
        </is>
      </c>
      <c r="E584" s="4" t="inlineStr">
        <is>
          <t>2026-02-17</t>
        </is>
      </c>
      <c r="F584" s="5" t="n">
        <v>3126</v>
      </c>
      <c r="G584" s="5" t="n">
        <v>3404</v>
      </c>
      <c r="H584" s="5">
        <f>G584-F584</f>
        <v/>
      </c>
      <c r="I584" s="6">
        <f>H584/F584</f>
        <v/>
      </c>
      <c r="J584" s="3" t="inlineStr">
        <is>
          <t>Camila Azevedo</t>
        </is>
      </c>
      <c r="K584" s="7" t="inlineStr">
        <is>
          <t>B03</t>
        </is>
      </c>
      <c r="L584" s="7">
        <f>IF(H584=0, "Correto", "Divergente")</f>
        <v/>
      </c>
    </row>
    <row r="585">
      <c r="A585" s="8" t="n">
        <v>584</v>
      </c>
      <c r="B585" s="8" t="n">
        <v>197</v>
      </c>
      <c r="C585" s="9" t="inlineStr">
        <is>
          <t>Capa Protetora para Tablet (Modelo 3)</t>
        </is>
      </c>
      <c r="D585" s="9" t="inlineStr">
        <is>
          <t>Smartphones</t>
        </is>
      </c>
      <c r="E585" s="10" t="inlineStr">
        <is>
          <t>2024-01-23</t>
        </is>
      </c>
      <c r="F585" s="11" t="n">
        <v>3737</v>
      </c>
      <c r="G585" s="11" t="n">
        <v>3333</v>
      </c>
      <c r="H585" s="11">
        <f>G585-F585</f>
        <v/>
      </c>
      <c r="I585" s="12">
        <f>H585/F585</f>
        <v/>
      </c>
      <c r="J585" s="9" t="inlineStr">
        <is>
          <t>Fernanda Vasconcelos</t>
        </is>
      </c>
      <c r="K585" s="13" t="inlineStr">
        <is>
          <t>B03</t>
        </is>
      </c>
      <c r="L585" s="13">
        <f>IF(H585=0, "Correto", "Divergente")</f>
        <v/>
      </c>
    </row>
    <row r="586">
      <c r="A586" s="2" t="n">
        <v>585</v>
      </c>
      <c r="B586" s="2" t="n">
        <v>62</v>
      </c>
      <c r="C586" s="3" t="inlineStr">
        <is>
          <t>Webcam Full HD 1080p (Modelo 3)</t>
        </is>
      </c>
      <c r="D586" s="3" t="inlineStr">
        <is>
          <t>Periféricos</t>
        </is>
      </c>
      <c r="E586" s="4" t="inlineStr">
        <is>
          <t>2025-09-24</t>
        </is>
      </c>
      <c r="F586" s="5" t="n">
        <v>4609</v>
      </c>
      <c r="G586" s="5" t="n">
        <v>4577</v>
      </c>
      <c r="H586" s="5">
        <f>G586-F586</f>
        <v/>
      </c>
      <c r="I586" s="6">
        <f>H586/F586</f>
        <v/>
      </c>
      <c r="J586" s="3" t="inlineStr">
        <is>
          <t>Marcelo Fontes</t>
        </is>
      </c>
      <c r="K586" s="7" t="inlineStr">
        <is>
          <t>C01</t>
        </is>
      </c>
      <c r="L586" s="7">
        <f>IF(H586=0, "Correto", "Divergente")</f>
        <v/>
      </c>
    </row>
    <row r="587">
      <c r="A587" s="8" t="n">
        <v>586</v>
      </c>
      <c r="B587" s="8" t="n">
        <v>60</v>
      </c>
      <c r="C587" s="9" t="inlineStr">
        <is>
          <t>Cooler para Processador 120mm (Modelo 1)</t>
        </is>
      </c>
      <c r="D587" s="9" t="inlineStr">
        <is>
          <t>Componentes</t>
        </is>
      </c>
      <c r="E587" s="10" t="inlineStr">
        <is>
          <t>2026-03-31</t>
        </is>
      </c>
      <c r="F587" s="11" t="n">
        <v>3733</v>
      </c>
      <c r="G587" s="11" t="n">
        <v>3733</v>
      </c>
      <c r="H587" s="11">
        <f>G587-F587</f>
        <v/>
      </c>
      <c r="I587" s="12">
        <f>H587/F587</f>
        <v/>
      </c>
      <c r="J587" s="9" t="inlineStr">
        <is>
          <t>Marcelo Fontes</t>
        </is>
      </c>
      <c r="K587" s="13" t="inlineStr">
        <is>
          <t>A01</t>
        </is>
      </c>
      <c r="L587" s="13">
        <f>IF(H587=0, "Correto", "Divergente")</f>
        <v/>
      </c>
    </row>
    <row r="588">
      <c r="A588" s="2" t="n">
        <v>587</v>
      </c>
      <c r="B588" s="2" t="n">
        <v>13</v>
      </c>
      <c r="C588" s="3" t="inlineStr">
        <is>
          <t>Monitor LED 21.5" Full HD (Modelo 14)</t>
        </is>
      </c>
      <c r="D588" s="3" t="inlineStr">
        <is>
          <t>Monitores</t>
        </is>
      </c>
      <c r="E588" s="4" t="inlineStr">
        <is>
          <t>2026-05-19</t>
        </is>
      </c>
      <c r="F588" s="5" t="n">
        <v>2548</v>
      </c>
      <c r="G588" s="5" t="n">
        <v>2548</v>
      </c>
      <c r="H588" s="5">
        <f>G588-F588</f>
        <v/>
      </c>
      <c r="I588" s="6">
        <f>H588/F588</f>
        <v/>
      </c>
      <c r="J588" s="3" t="inlineStr">
        <is>
          <t>Fernanda Vasconcelos</t>
        </is>
      </c>
      <c r="K588" s="7" t="inlineStr">
        <is>
          <t>B03</t>
        </is>
      </c>
      <c r="L588" s="7">
        <f>IF(H588=0, "Correto", "Divergente")</f>
        <v/>
      </c>
    </row>
    <row r="589">
      <c r="A589" s="8" t="n">
        <v>588</v>
      </c>
      <c r="B589" s="8" t="n">
        <v>145</v>
      </c>
      <c r="C589" s="9" t="inlineStr">
        <is>
          <t>Headset USB com Cancelamento de Ruído (Modelo 11)</t>
        </is>
      </c>
      <c r="D589" s="9" t="inlineStr">
        <is>
          <t>Áudio</t>
        </is>
      </c>
      <c r="E589" s="10" t="inlineStr">
        <is>
          <t>2026-05-31</t>
        </is>
      </c>
      <c r="F589" s="11" t="n">
        <v>2549</v>
      </c>
      <c r="G589" s="11" t="n">
        <v>2549</v>
      </c>
      <c r="H589" s="11">
        <f>G589-F589</f>
        <v/>
      </c>
      <c r="I589" s="12">
        <f>H589/F589</f>
        <v/>
      </c>
      <c r="J589" s="9" t="inlineStr">
        <is>
          <t>Roberto Fernandes</t>
        </is>
      </c>
      <c r="K589" s="13" t="inlineStr">
        <is>
          <t>C01</t>
        </is>
      </c>
      <c r="L589" s="13">
        <f>IF(H589=0, "Correto", "Divergente")</f>
        <v/>
      </c>
    </row>
    <row r="590">
      <c r="A590" s="2" t="n">
        <v>589</v>
      </c>
      <c r="B590" s="2" t="n">
        <v>182</v>
      </c>
      <c r="C590" s="3" t="inlineStr">
        <is>
          <t>Mesa Digitalizadora (Modelo 3)</t>
        </is>
      </c>
      <c r="D590" s="3" t="inlineStr">
        <is>
          <t>Periféricos</t>
        </is>
      </c>
      <c r="E590" s="4" t="inlineStr">
        <is>
          <t>2026-12-17</t>
        </is>
      </c>
      <c r="F590" s="5" t="n">
        <v>997</v>
      </c>
      <c r="G590" s="5" t="n">
        <v>997</v>
      </c>
      <c r="H590" s="5">
        <f>G590-F590</f>
        <v/>
      </c>
      <c r="I590" s="6">
        <f>H590/F590</f>
        <v/>
      </c>
      <c r="J590" s="3" t="inlineStr">
        <is>
          <t>Marcelo Fontes</t>
        </is>
      </c>
      <c r="K590" s="7" t="inlineStr">
        <is>
          <t>A02</t>
        </is>
      </c>
      <c r="L590" s="7">
        <f>IF(H590=0, "Correto", "Divergente")</f>
        <v/>
      </c>
    </row>
    <row r="591">
      <c r="A591" s="8" t="n">
        <v>590</v>
      </c>
      <c r="B591" s="8" t="n">
        <v>36</v>
      </c>
      <c r="C591" s="9" t="inlineStr">
        <is>
          <t>Cartão de Memória MicroSD 128GB (Modelo 7)</t>
        </is>
      </c>
      <c r="D591" s="9" t="inlineStr">
        <is>
          <t>Armazenamento</t>
        </is>
      </c>
      <c r="E591" s="10" t="inlineStr">
        <is>
          <t>2024-03-03</t>
        </is>
      </c>
      <c r="F591" s="11" t="n">
        <v>3508</v>
      </c>
      <c r="G591" s="11" t="n">
        <v>3508</v>
      </c>
      <c r="H591" s="11">
        <f>G591-F591</f>
        <v/>
      </c>
      <c r="I591" s="12">
        <f>H591/F591</f>
        <v/>
      </c>
      <c r="J591" s="9" t="inlineStr">
        <is>
          <t>Mariana Alcantara</t>
        </is>
      </c>
      <c r="K591" s="13" t="inlineStr">
        <is>
          <t>Depósito Externo</t>
        </is>
      </c>
      <c r="L591" s="13">
        <f>IF(H591=0, "Correto", "Divergente")</f>
        <v/>
      </c>
    </row>
    <row r="592">
      <c r="A592" s="2" t="n">
        <v>591</v>
      </c>
      <c r="B592" s="2" t="n">
        <v>123</v>
      </c>
      <c r="C592" s="3" t="inlineStr">
        <is>
          <t>Monitor 27" Curvo 144Hz (Modelo 4)</t>
        </is>
      </c>
      <c r="D592" s="3" t="inlineStr">
        <is>
          <t>Monitores</t>
        </is>
      </c>
      <c r="E592" s="4" t="inlineStr">
        <is>
          <t>2024-06-27</t>
        </is>
      </c>
      <c r="F592" s="5" t="n">
        <v>857</v>
      </c>
      <c r="G592" s="5" t="n">
        <v>857</v>
      </c>
      <c r="H592" s="5">
        <f>G592-F592</f>
        <v/>
      </c>
      <c r="I592" s="6">
        <f>H592/F592</f>
        <v/>
      </c>
      <c r="J592" s="3" t="inlineStr">
        <is>
          <t>Beatriz Castilho</t>
        </is>
      </c>
      <c r="K592" s="7" t="inlineStr">
        <is>
          <t>A03</t>
        </is>
      </c>
      <c r="L592" s="7">
        <f>IF(H592=0, "Correto", "Divergente")</f>
        <v/>
      </c>
    </row>
    <row r="593">
      <c r="A593" s="8" t="n">
        <v>592</v>
      </c>
      <c r="B593" s="8" t="n">
        <v>70</v>
      </c>
      <c r="C593" s="9" t="inlineStr">
        <is>
          <t>Fonte Atx 500W 80 Plus (Modelo 11)</t>
        </is>
      </c>
      <c r="D593" s="9" t="inlineStr">
        <is>
          <t>Componentes</t>
        </is>
      </c>
      <c r="E593" s="10" t="inlineStr">
        <is>
          <t>2024-02-25</t>
        </is>
      </c>
      <c r="F593" s="11" t="n">
        <v>353</v>
      </c>
      <c r="G593" s="11" t="n">
        <v>353</v>
      </c>
      <c r="H593" s="11">
        <f>G593-F593</f>
        <v/>
      </c>
      <c r="I593" s="12">
        <f>H593/F593</f>
        <v/>
      </c>
      <c r="J593" s="9" t="inlineStr">
        <is>
          <t>Mariana Alcantara</t>
        </is>
      </c>
      <c r="K593" s="13" t="inlineStr">
        <is>
          <t>B02</t>
        </is>
      </c>
      <c r="L593" s="13">
        <f>IF(H593=0, "Correto", "Divergente")</f>
        <v/>
      </c>
    </row>
    <row r="594">
      <c r="A594" s="2" t="n">
        <v>593</v>
      </c>
      <c r="B594" s="2" t="n">
        <v>187</v>
      </c>
      <c r="C594" s="3" t="inlineStr">
        <is>
          <t>Smartphone Empresarial 128GB (Modelo 8)</t>
        </is>
      </c>
      <c r="D594" s="3" t="inlineStr">
        <is>
          <t>Smartphones</t>
        </is>
      </c>
      <c r="E594" s="4" t="inlineStr">
        <is>
          <t>2024-11-14</t>
        </is>
      </c>
      <c r="F594" s="5" t="n">
        <v>4921</v>
      </c>
      <c r="G594" s="5" t="n">
        <v>4921</v>
      </c>
      <c r="H594" s="5">
        <f>G594-F594</f>
        <v/>
      </c>
      <c r="I594" s="6">
        <f>H594/F594</f>
        <v/>
      </c>
      <c r="J594" s="3" t="inlineStr">
        <is>
          <t>Camila Azevedo</t>
        </is>
      </c>
      <c r="K594" s="7" t="inlineStr">
        <is>
          <t>A03</t>
        </is>
      </c>
      <c r="L594" s="7">
        <f>IF(H594=0, "Correto", "Divergente")</f>
        <v/>
      </c>
    </row>
    <row r="595">
      <c r="A595" s="8" t="n">
        <v>594</v>
      </c>
      <c r="B595" s="8" t="n">
        <v>73</v>
      </c>
      <c r="C595" s="9" t="inlineStr">
        <is>
          <t>Monitor LED 21.5" Full HD (Modelo 14)</t>
        </is>
      </c>
      <c r="D595" s="9" t="inlineStr">
        <is>
          <t>Monitores</t>
        </is>
      </c>
      <c r="E595" s="10" t="inlineStr">
        <is>
          <t>2024-06-30</t>
        </is>
      </c>
      <c r="F595" s="11" t="n">
        <v>95</v>
      </c>
      <c r="G595" s="11" t="n">
        <v>95</v>
      </c>
      <c r="H595" s="11">
        <f>G595-F595</f>
        <v/>
      </c>
      <c r="I595" s="12">
        <f>H595/F595</f>
        <v/>
      </c>
      <c r="J595" s="9" t="inlineStr">
        <is>
          <t>Ricardo Mendes</t>
        </is>
      </c>
      <c r="K595" s="13" t="inlineStr">
        <is>
          <t>A01</t>
        </is>
      </c>
      <c r="L595" s="13">
        <f>IF(H595=0, "Correto", "Divergente")</f>
        <v/>
      </c>
    </row>
    <row r="596">
      <c r="A596" s="2" t="n">
        <v>595</v>
      </c>
      <c r="B596" s="2" t="n">
        <v>84</v>
      </c>
      <c r="C596" s="3" t="inlineStr">
        <is>
          <t>Cartucho Colorido Premium (Modelo 10)</t>
        </is>
      </c>
      <c r="D596" s="3" t="inlineStr">
        <is>
          <t>Impressão</t>
        </is>
      </c>
      <c r="E596" s="4" t="inlineStr">
        <is>
          <t>2026-09-28</t>
        </is>
      </c>
      <c r="F596" s="5" t="n">
        <v>2318</v>
      </c>
      <c r="G596" s="5" t="n">
        <v>2318</v>
      </c>
      <c r="H596" s="5">
        <f>G596-F596</f>
        <v/>
      </c>
      <c r="I596" s="6">
        <f>H596/F596</f>
        <v/>
      </c>
      <c r="J596" s="3" t="inlineStr">
        <is>
          <t>Marcelo Fontes</t>
        </is>
      </c>
      <c r="K596" s="7" t="inlineStr">
        <is>
          <t>C01</t>
        </is>
      </c>
      <c r="L596" s="7">
        <f>IF(H596=0, "Correto", "Divergente")</f>
        <v/>
      </c>
    </row>
    <row r="597">
      <c r="A597" s="8" t="n">
        <v>596</v>
      </c>
      <c r="B597" s="8" t="n">
        <v>5</v>
      </c>
      <c r="C597" s="9" t="inlineStr">
        <is>
          <t>Caixa de Som Bluetooth Portátil (Modelo 6)</t>
        </is>
      </c>
      <c r="D597" s="9" t="inlineStr">
        <is>
          <t>Áudio</t>
        </is>
      </c>
      <c r="E597" s="10" t="inlineStr">
        <is>
          <t>2026-09-21</t>
        </is>
      </c>
      <c r="F597" s="11" t="n">
        <v>648</v>
      </c>
      <c r="G597" s="11" t="n">
        <v>649</v>
      </c>
      <c r="H597" s="11">
        <f>G597-F597</f>
        <v/>
      </c>
      <c r="I597" s="12">
        <f>H597/F597</f>
        <v/>
      </c>
      <c r="J597" s="9" t="inlineStr">
        <is>
          <t>Ricardo Mendes</t>
        </is>
      </c>
      <c r="K597" s="13" t="inlineStr">
        <is>
          <t>C01</t>
        </is>
      </c>
      <c r="L597" s="13">
        <f>IF(H597=0, "Correto", "Divergente")</f>
        <v/>
      </c>
    </row>
    <row r="598">
      <c r="A598" s="2" t="n">
        <v>597</v>
      </c>
      <c r="B598" s="2" t="n">
        <v>117</v>
      </c>
      <c r="C598" s="3" t="inlineStr">
        <is>
          <t>Tablet 10.1" Wi-Fi 64GB (Modelo 13)</t>
        </is>
      </c>
      <c r="D598" s="3" t="inlineStr">
        <is>
          <t>Smartphones</t>
        </is>
      </c>
      <c r="E598" s="4" t="inlineStr">
        <is>
          <t>2026-11-09</t>
        </is>
      </c>
      <c r="F598" s="5" t="n">
        <v>1853</v>
      </c>
      <c r="G598" s="5" t="n">
        <v>1853</v>
      </c>
      <c r="H598" s="5">
        <f>G598-F598</f>
        <v/>
      </c>
      <c r="I598" s="6">
        <f>H598/F598</f>
        <v/>
      </c>
      <c r="J598" s="3" t="inlineStr">
        <is>
          <t>Ricardo Mendes</t>
        </is>
      </c>
      <c r="K598" s="7" t="inlineStr">
        <is>
          <t>B03</t>
        </is>
      </c>
      <c r="L598" s="7">
        <f>IF(H598=0, "Correto", "Divergente")</f>
        <v/>
      </c>
    </row>
    <row r="599">
      <c r="A599" s="8" t="n">
        <v>598</v>
      </c>
      <c r="B599" s="8" t="n">
        <v>64</v>
      </c>
      <c r="C599" s="9" t="inlineStr">
        <is>
          <t>Toner HP Preto Original (Modelo 5)</t>
        </is>
      </c>
      <c r="D599" s="9" t="inlineStr">
        <is>
          <t>Impressão</t>
        </is>
      </c>
      <c r="E599" s="10" t="inlineStr">
        <is>
          <t>2024-07-16</t>
        </is>
      </c>
      <c r="F599" s="11" t="n">
        <v>2222</v>
      </c>
      <c r="G599" s="11" t="n">
        <v>2222</v>
      </c>
      <c r="H599" s="11">
        <f>G599-F599</f>
        <v/>
      </c>
      <c r="I599" s="12">
        <f>H599/F599</f>
        <v/>
      </c>
      <c r="J599" s="9" t="inlineStr">
        <is>
          <t>Carlos Eduardo Rocha</t>
        </is>
      </c>
      <c r="K599" s="13" t="inlineStr">
        <is>
          <t>A03</t>
        </is>
      </c>
      <c r="L599" s="13">
        <f>IF(H599=0, "Correto", "Divergente")</f>
        <v/>
      </c>
    </row>
    <row r="600">
      <c r="A600" s="2" t="n">
        <v>599</v>
      </c>
      <c r="B600" s="2" t="n">
        <v>88</v>
      </c>
      <c r="C600" s="3" t="inlineStr">
        <is>
          <t>Access Point Wi-Fi Corporativo (Modelo 14)</t>
        </is>
      </c>
      <c r="D600" s="3" t="inlineStr">
        <is>
          <t>Redes</t>
        </is>
      </c>
      <c r="E600" s="4" t="inlineStr">
        <is>
          <t>2025-09-13</t>
        </is>
      </c>
      <c r="F600" s="5" t="n">
        <v>2454</v>
      </c>
      <c r="G600" s="5" t="n">
        <v>2454</v>
      </c>
      <c r="H600" s="5">
        <f>G600-F600</f>
        <v/>
      </c>
      <c r="I600" s="6">
        <f>H600/F600</f>
        <v/>
      </c>
      <c r="J600" s="3" t="inlineStr">
        <is>
          <t>Roberto Fernandes</t>
        </is>
      </c>
      <c r="K600" s="7" t="inlineStr">
        <is>
          <t>A02</t>
        </is>
      </c>
      <c r="L600" s="7">
        <f>IF(H600=0, "Correto", "Divergente")</f>
        <v/>
      </c>
    </row>
    <row r="601">
      <c r="A601" s="8" t="n">
        <v>600</v>
      </c>
      <c r="B601" s="8" t="n">
        <v>25</v>
      </c>
      <c r="C601" s="9" t="inlineStr">
        <is>
          <t>Headset USB com Cancelamento de Ruído (Modelo 11)</t>
        </is>
      </c>
      <c r="D601" s="9" t="inlineStr">
        <is>
          <t>Áudio</t>
        </is>
      </c>
      <c r="E601" s="10" t="inlineStr">
        <is>
          <t>2026-08-19</t>
        </is>
      </c>
      <c r="F601" s="11" t="n">
        <v>2309</v>
      </c>
      <c r="G601" s="11" t="n">
        <v>2309</v>
      </c>
      <c r="H601" s="11">
        <f>G601-F601</f>
        <v/>
      </c>
      <c r="I601" s="12">
        <f>H601/F601</f>
        <v/>
      </c>
      <c r="J601" s="9" t="inlineStr">
        <is>
          <t>Beatriz Castilho</t>
        </is>
      </c>
      <c r="K601" s="13" t="inlineStr">
        <is>
          <t>B02</t>
        </is>
      </c>
      <c r="L601" s="13">
        <f>IF(H601=0, "Correto", "Divergente")</f>
        <v/>
      </c>
    </row>
    <row r="602">
      <c r="A602" s="2" t="n">
        <v>601</v>
      </c>
      <c r="B602" s="2" t="n">
        <v>86</v>
      </c>
      <c r="C602" s="3" t="inlineStr">
        <is>
          <t>SSD NVMe 1TB M.2 (Modelo 12)</t>
        </is>
      </c>
      <c r="D602" s="3" t="inlineStr">
        <is>
          <t>Armazenamento</t>
        </is>
      </c>
      <c r="E602" s="4" t="inlineStr">
        <is>
          <t>2026-12-24</t>
        </is>
      </c>
      <c r="F602" s="5" t="n">
        <v>4752</v>
      </c>
      <c r="G602" s="5" t="n">
        <v>4752</v>
      </c>
      <c r="H602" s="5">
        <f>G602-F602</f>
        <v/>
      </c>
      <c r="I602" s="6">
        <f>H602/F602</f>
        <v/>
      </c>
      <c r="J602" s="3" t="inlineStr">
        <is>
          <t>Carlos Eduardo Rocha</t>
        </is>
      </c>
      <c r="K602" s="7" t="inlineStr">
        <is>
          <t>B02</t>
        </is>
      </c>
      <c r="L602" s="7">
        <f>IF(H602=0, "Correto", "Divergente")</f>
        <v/>
      </c>
    </row>
    <row r="603">
      <c r="A603" s="8" t="n">
        <v>602</v>
      </c>
      <c r="B603" s="8" t="n">
        <v>43</v>
      </c>
      <c r="C603" s="9" t="inlineStr">
        <is>
          <t>Monitor LED 21.5" Full HD (Modelo 14)</t>
        </is>
      </c>
      <c r="D603" s="9" t="inlineStr">
        <is>
          <t>Monitores</t>
        </is>
      </c>
      <c r="E603" s="10" t="inlineStr">
        <is>
          <t>2024-03-21</t>
        </is>
      </c>
      <c r="F603" s="11" t="n">
        <v>2218</v>
      </c>
      <c r="G603" s="11" t="n">
        <v>2218</v>
      </c>
      <c r="H603" s="11">
        <f>G603-F603</f>
        <v/>
      </c>
      <c r="I603" s="12">
        <f>H603/F603</f>
        <v/>
      </c>
      <c r="J603" s="9" t="inlineStr">
        <is>
          <t>Patricia Prado</t>
        </is>
      </c>
      <c r="K603" s="13" t="inlineStr">
        <is>
          <t>Depósito Externo</t>
        </is>
      </c>
      <c r="L603" s="13">
        <f>IF(H603=0, "Correto", "Divergente")</f>
        <v/>
      </c>
    </row>
    <row r="604">
      <c r="A604" s="2" t="n">
        <v>603</v>
      </c>
      <c r="B604" s="2" t="n">
        <v>162</v>
      </c>
      <c r="C604" s="3" t="inlineStr">
        <is>
          <t>Teclado Mecânico RGB (Modelo 13)</t>
        </is>
      </c>
      <c r="D604" s="3" t="inlineStr">
        <is>
          <t>Periféricos</t>
        </is>
      </c>
      <c r="E604" s="4" t="inlineStr">
        <is>
          <t>2024-01-30</t>
        </is>
      </c>
      <c r="F604" s="5" t="n">
        <v>617</v>
      </c>
      <c r="G604" s="5" t="n">
        <v>617</v>
      </c>
      <c r="H604" s="5">
        <f>G604-F604</f>
        <v/>
      </c>
      <c r="I604" s="6">
        <f>H604/F604</f>
        <v/>
      </c>
      <c r="J604" s="3" t="inlineStr">
        <is>
          <t>Roberto Fernandes</t>
        </is>
      </c>
      <c r="K604" s="7" t="inlineStr">
        <is>
          <t>B03</t>
        </is>
      </c>
      <c r="L604" s="7">
        <f>IF(H604=0, "Correto", "Divergente")</f>
        <v/>
      </c>
    </row>
    <row r="605">
      <c r="A605" s="8" t="n">
        <v>604</v>
      </c>
      <c r="B605" s="8" t="n">
        <v>28</v>
      </c>
      <c r="C605" s="9" t="inlineStr">
        <is>
          <t>Access Point Wi-Fi Corporativo (Modelo 14)</t>
        </is>
      </c>
      <c r="D605" s="9" t="inlineStr">
        <is>
          <t>Redes</t>
        </is>
      </c>
      <c r="E605" s="10" t="inlineStr">
        <is>
          <t>2025-11-26</t>
        </is>
      </c>
      <c r="F605" s="11" t="n">
        <v>3914</v>
      </c>
      <c r="G605" s="11" t="n">
        <v>4419</v>
      </c>
      <c r="H605" s="11">
        <f>G605-F605</f>
        <v/>
      </c>
      <c r="I605" s="12">
        <f>H605/F605</f>
        <v/>
      </c>
      <c r="J605" s="9" t="inlineStr">
        <is>
          <t>Camila Azevedo</t>
        </is>
      </c>
      <c r="K605" s="13" t="inlineStr">
        <is>
          <t>C02</t>
        </is>
      </c>
      <c r="L605" s="13">
        <f>IF(H605=0, "Correto", "Divergente")</f>
        <v/>
      </c>
    </row>
    <row r="606">
      <c r="A606" s="2" t="n">
        <v>605</v>
      </c>
      <c r="B606" s="2" t="n">
        <v>164</v>
      </c>
      <c r="C606" s="3" t="inlineStr">
        <is>
          <t>Multifuncional Tanque de Tinta (Modelo 15)</t>
        </is>
      </c>
      <c r="D606" s="3" t="inlineStr">
        <is>
          <t>Impressão</t>
        </is>
      </c>
      <c r="E606" s="4" t="inlineStr">
        <is>
          <t>2025-06-12</t>
        </is>
      </c>
      <c r="F606" s="5" t="n">
        <v>4117</v>
      </c>
      <c r="G606" s="5" t="n">
        <v>4117</v>
      </c>
      <c r="H606" s="5">
        <f>G606-F606</f>
        <v/>
      </c>
      <c r="I606" s="6">
        <f>H606/F606</f>
        <v/>
      </c>
      <c r="J606" s="3" t="inlineStr">
        <is>
          <t>Ricardo Mendes</t>
        </is>
      </c>
      <c r="K606" s="7" t="inlineStr">
        <is>
          <t>A01</t>
        </is>
      </c>
      <c r="L606" s="7">
        <f>IF(H606=0, "Correto", "Divergente")</f>
        <v/>
      </c>
    </row>
    <row r="607">
      <c r="A607" s="8" t="n">
        <v>606</v>
      </c>
      <c r="B607" s="8" t="n">
        <v>46</v>
      </c>
      <c r="C607" s="9" t="inlineStr">
        <is>
          <t>HD Externo Portátil 2TB (Modelo 2)</t>
        </is>
      </c>
      <c r="D607" s="9" t="inlineStr">
        <is>
          <t>Armazenamento</t>
        </is>
      </c>
      <c r="E607" s="10" t="inlineStr">
        <is>
          <t>2026-03-29</t>
        </is>
      </c>
      <c r="F607" s="11" t="n">
        <v>3887</v>
      </c>
      <c r="G607" s="11" t="n">
        <v>3887</v>
      </c>
      <c r="H607" s="11">
        <f>G607-F607</f>
        <v/>
      </c>
      <c r="I607" s="12">
        <f>H607/F607</f>
        <v/>
      </c>
      <c r="J607" s="9" t="inlineStr">
        <is>
          <t>Gustavo Silveira</t>
        </is>
      </c>
      <c r="K607" s="13" t="inlineStr">
        <is>
          <t>C03</t>
        </is>
      </c>
      <c r="L607" s="13">
        <f>IF(H607=0, "Correto", "Divergente")</f>
        <v/>
      </c>
    </row>
    <row r="608">
      <c r="A608" s="2" t="n">
        <v>607</v>
      </c>
      <c r="B608" s="2" t="n">
        <v>67</v>
      </c>
      <c r="C608" s="3" t="inlineStr">
        <is>
          <t>Smartphone Empresarial 128GB (Modelo 8)</t>
        </is>
      </c>
      <c r="D608" s="3" t="inlineStr">
        <is>
          <t>Smartphones</t>
        </is>
      </c>
      <c r="E608" s="4" t="inlineStr">
        <is>
          <t>2024-06-30</t>
        </is>
      </c>
      <c r="F608" s="5" t="n">
        <v>3487</v>
      </c>
      <c r="G608" s="5" t="n">
        <v>3504</v>
      </c>
      <c r="H608" s="5">
        <f>G608-F608</f>
        <v/>
      </c>
      <c r="I608" s="6">
        <f>H608/F608</f>
        <v/>
      </c>
      <c r="J608" s="3" t="inlineStr">
        <is>
          <t>Camila Azevedo</t>
        </is>
      </c>
      <c r="K608" s="7" t="inlineStr">
        <is>
          <t>C01</t>
        </is>
      </c>
      <c r="L608" s="7">
        <f>IF(H608=0, "Correto", "Divergente")</f>
        <v/>
      </c>
    </row>
    <row r="609">
      <c r="A609" s="8" t="n">
        <v>608</v>
      </c>
      <c r="B609" s="8" t="n">
        <v>150</v>
      </c>
      <c r="C609" s="9" t="inlineStr">
        <is>
          <t>Cooler para Processador 120mm (Modelo 1)</t>
        </is>
      </c>
      <c r="D609" s="9" t="inlineStr">
        <is>
          <t>Componentes</t>
        </is>
      </c>
      <c r="E609" s="10" t="inlineStr">
        <is>
          <t>2024-02-24</t>
        </is>
      </c>
      <c r="F609" s="11" t="n">
        <v>1866</v>
      </c>
      <c r="G609" s="11" t="n">
        <v>1866</v>
      </c>
      <c r="H609" s="11">
        <f>G609-F609</f>
        <v/>
      </c>
      <c r="I609" s="12">
        <f>H609/F609</f>
        <v/>
      </c>
      <c r="J609" s="9" t="inlineStr">
        <is>
          <t>Patricia Prado</t>
        </is>
      </c>
      <c r="K609" s="13" t="inlineStr">
        <is>
          <t>B02</t>
        </is>
      </c>
      <c r="L609" s="13">
        <f>IF(H609=0, "Correto", "Divergente")</f>
        <v/>
      </c>
    </row>
    <row r="610">
      <c r="A610" s="2" t="n">
        <v>609</v>
      </c>
      <c r="B610" s="2" t="n">
        <v>132</v>
      </c>
      <c r="C610" s="3" t="inlineStr">
        <is>
          <t>Webcam Full HD 1080p (Modelo 13)</t>
        </is>
      </c>
      <c r="D610" s="3" t="inlineStr">
        <is>
          <t>Periféricos</t>
        </is>
      </c>
      <c r="E610" s="4" t="inlineStr">
        <is>
          <t>2024-06-23</t>
        </is>
      </c>
      <c r="F610" s="5" t="n">
        <v>4916</v>
      </c>
      <c r="G610" s="5" t="n">
        <v>4916</v>
      </c>
      <c r="H610" s="5">
        <f>G610-F610</f>
        <v/>
      </c>
      <c r="I610" s="6">
        <f>H610/F610</f>
        <v/>
      </c>
      <c r="J610" s="3" t="inlineStr">
        <is>
          <t>Beatriz Castilho</t>
        </is>
      </c>
      <c r="K610" s="7" t="inlineStr">
        <is>
          <t>A02</t>
        </is>
      </c>
      <c r="L610" s="7">
        <f>IF(H610=0, "Correto", "Divergente")</f>
        <v/>
      </c>
    </row>
    <row r="611">
      <c r="A611" s="8" t="n">
        <v>610</v>
      </c>
      <c r="B611" s="8" t="n">
        <v>11</v>
      </c>
      <c r="C611" s="9" t="inlineStr">
        <is>
          <t>Desktop Core i5 8GB (Modelo 12)</t>
        </is>
      </c>
      <c r="D611" s="9" t="inlineStr">
        <is>
          <t>Informática</t>
        </is>
      </c>
      <c r="E611" s="10" t="inlineStr">
        <is>
          <t>2024-02-14</t>
        </is>
      </c>
      <c r="F611" s="11" t="n">
        <v>2923</v>
      </c>
      <c r="G611" s="11" t="n">
        <v>2923</v>
      </c>
      <c r="H611" s="11">
        <f>G611-F611</f>
        <v/>
      </c>
      <c r="I611" s="12">
        <f>H611/F611</f>
        <v/>
      </c>
      <c r="J611" s="9" t="inlineStr">
        <is>
          <t>Beatriz Castilho</t>
        </is>
      </c>
      <c r="K611" s="13" t="inlineStr">
        <is>
          <t>Depósito Externo</t>
        </is>
      </c>
      <c r="L611" s="13">
        <f>IF(H611=0, "Correto", "Divergente")</f>
        <v/>
      </c>
    </row>
    <row r="612">
      <c r="A612" s="2" t="n">
        <v>611</v>
      </c>
      <c r="B612" s="2" t="n">
        <v>142</v>
      </c>
      <c r="C612" s="3" t="inlineStr">
        <is>
          <t>Teclado Sem Fio Ergológico (Modelo 8)</t>
        </is>
      </c>
      <c r="D612" s="3" t="inlineStr">
        <is>
          <t>Periféricos</t>
        </is>
      </c>
      <c r="E612" s="4" t="inlineStr">
        <is>
          <t>2026-04-07</t>
        </is>
      </c>
      <c r="F612" s="5" t="n">
        <v>2740</v>
      </c>
      <c r="G612" s="5" t="n">
        <v>2642</v>
      </c>
      <c r="H612" s="5">
        <f>G612-F612</f>
        <v/>
      </c>
      <c r="I612" s="6">
        <f>H612/F612</f>
        <v/>
      </c>
      <c r="J612" s="3" t="inlineStr">
        <is>
          <t>Gustavo Silveira</t>
        </is>
      </c>
      <c r="K612" s="7" t="inlineStr">
        <is>
          <t>A02</t>
        </is>
      </c>
      <c r="L612" s="7">
        <f>IF(H612=0, "Correto", "Divergente")</f>
        <v/>
      </c>
    </row>
    <row r="613">
      <c r="A613" s="8" t="n">
        <v>612</v>
      </c>
      <c r="B613" s="8" t="n">
        <v>145</v>
      </c>
      <c r="C613" s="9" t="inlineStr">
        <is>
          <t>Headset USB com Cancelamento de Ruído (Modelo 11)</t>
        </is>
      </c>
      <c r="D613" s="9" t="inlineStr">
        <is>
          <t>Áudio</t>
        </is>
      </c>
      <c r="E613" s="10" t="inlineStr">
        <is>
          <t>2025-12-08</t>
        </is>
      </c>
      <c r="F613" s="11" t="n">
        <v>4095</v>
      </c>
      <c r="G613" s="11" t="n">
        <v>4095</v>
      </c>
      <c r="H613" s="11">
        <f>G613-F613</f>
        <v/>
      </c>
      <c r="I613" s="12">
        <f>H613/F613</f>
        <v/>
      </c>
      <c r="J613" s="9" t="inlineStr">
        <is>
          <t>Ricardo Mendes</t>
        </is>
      </c>
      <c r="K613" s="13" t="inlineStr">
        <is>
          <t>C03</t>
        </is>
      </c>
      <c r="L613" s="13">
        <f>IF(H613=0, "Correto", "Divergente")</f>
        <v/>
      </c>
    </row>
    <row r="614">
      <c r="A614" s="2" t="n">
        <v>613</v>
      </c>
      <c r="B614" s="2" t="n">
        <v>28</v>
      </c>
      <c r="C614" s="3" t="inlineStr">
        <is>
          <t>Access Point Wi-Fi Corporativo (Modelo 14)</t>
        </is>
      </c>
      <c r="D614" s="3" t="inlineStr">
        <is>
          <t>Redes</t>
        </is>
      </c>
      <c r="E614" s="4" t="inlineStr">
        <is>
          <t>2025-02-08</t>
        </is>
      </c>
      <c r="F614" s="5" t="n">
        <v>1160</v>
      </c>
      <c r="G614" s="5" t="n">
        <v>1160</v>
      </c>
      <c r="H614" s="5">
        <f>G614-F614</f>
        <v/>
      </c>
      <c r="I614" s="6">
        <f>H614/F614</f>
        <v/>
      </c>
      <c r="J614" s="3" t="inlineStr">
        <is>
          <t>Beatriz Castilho</t>
        </is>
      </c>
      <c r="K614" s="7" t="inlineStr">
        <is>
          <t>B01</t>
        </is>
      </c>
      <c r="L614" s="7">
        <f>IF(H614=0, "Correto", "Divergente")</f>
        <v/>
      </c>
    </row>
    <row r="615">
      <c r="A615" s="8" t="n">
        <v>614</v>
      </c>
      <c r="B615" s="8" t="n">
        <v>141</v>
      </c>
      <c r="C615" s="9" t="inlineStr">
        <is>
          <t>Mini PC Ryzen 5 (Modelo 7)</t>
        </is>
      </c>
      <c r="D615" s="9" t="inlineStr">
        <is>
          <t>Informática</t>
        </is>
      </c>
      <c r="E615" s="10" t="inlineStr">
        <is>
          <t>2024-08-22</t>
        </is>
      </c>
      <c r="F615" s="11" t="n">
        <v>1365</v>
      </c>
      <c r="G615" s="11" t="n">
        <v>1365</v>
      </c>
      <c r="H615" s="11">
        <f>G615-F615</f>
        <v/>
      </c>
      <c r="I615" s="12">
        <f>H615/F615</f>
        <v/>
      </c>
      <c r="J615" s="9" t="inlineStr">
        <is>
          <t>Fernanda Vasconcelos</t>
        </is>
      </c>
      <c r="K615" s="13" t="inlineStr">
        <is>
          <t>B02</t>
        </is>
      </c>
      <c r="L615" s="13">
        <f>IF(H615=0, "Correto", "Divergente")</f>
        <v/>
      </c>
    </row>
    <row r="616">
      <c r="A616" s="2" t="n">
        <v>615</v>
      </c>
      <c r="B616" s="2" t="n">
        <v>117</v>
      </c>
      <c r="C616" s="3" t="inlineStr">
        <is>
          <t>Tablet 10.1" Wi-Fi 64GB (Modelo 13)</t>
        </is>
      </c>
      <c r="D616" s="3" t="inlineStr">
        <is>
          <t>Smartphones</t>
        </is>
      </c>
      <c r="E616" s="4" t="inlineStr">
        <is>
          <t>2026-04-11</t>
        </is>
      </c>
      <c r="F616" s="5" t="n">
        <v>4405</v>
      </c>
      <c r="G616" s="5" t="n">
        <v>4405</v>
      </c>
      <c r="H616" s="5">
        <f>G616-F616</f>
        <v/>
      </c>
      <c r="I616" s="6">
        <f>H616/F616</f>
        <v/>
      </c>
      <c r="J616" s="3" t="inlineStr">
        <is>
          <t>Ricardo Mendes</t>
        </is>
      </c>
      <c r="K616" s="7" t="inlineStr">
        <is>
          <t>A01</t>
        </is>
      </c>
      <c r="L616" s="7">
        <f>IF(H616=0, "Correto", "Divergente")</f>
        <v/>
      </c>
    </row>
    <row r="617">
      <c r="A617" s="8" t="n">
        <v>616</v>
      </c>
      <c r="B617" s="8" t="n">
        <v>184</v>
      </c>
      <c r="C617" s="9" t="inlineStr">
        <is>
          <t>Toner HP Preto Original (Modelo 5)</t>
        </is>
      </c>
      <c r="D617" s="9" t="inlineStr">
        <is>
          <t>Impressão</t>
        </is>
      </c>
      <c r="E617" s="10" t="inlineStr">
        <is>
          <t>2024-08-25</t>
        </is>
      </c>
      <c r="F617" s="11" t="n">
        <v>2116</v>
      </c>
      <c r="G617" s="11" t="n">
        <v>2323</v>
      </c>
      <c r="H617" s="11">
        <f>G617-F617</f>
        <v/>
      </c>
      <c r="I617" s="12">
        <f>H617/F617</f>
        <v/>
      </c>
      <c r="J617" s="9" t="inlineStr">
        <is>
          <t>Gustavo Silveira</t>
        </is>
      </c>
      <c r="K617" s="13" t="inlineStr">
        <is>
          <t>A02</t>
        </is>
      </c>
      <c r="L617" s="13">
        <f>IF(H617=0, "Correto", "Divergente")</f>
        <v/>
      </c>
    </row>
    <row r="618">
      <c r="A618" s="2" t="n">
        <v>617</v>
      </c>
      <c r="B618" s="2" t="n">
        <v>176</v>
      </c>
      <c r="C618" s="3" t="inlineStr">
        <is>
          <t>SSD NVMe 1TB M.2 (Modelo 12)</t>
        </is>
      </c>
      <c r="D618" s="3" t="inlineStr">
        <is>
          <t>Armazenamento</t>
        </is>
      </c>
      <c r="E618" s="4" t="inlineStr">
        <is>
          <t>2025-01-06</t>
        </is>
      </c>
      <c r="F618" s="5" t="n">
        <v>2240</v>
      </c>
      <c r="G618" s="5" t="n">
        <v>2321</v>
      </c>
      <c r="H618" s="5">
        <f>G618-F618</f>
        <v/>
      </c>
      <c r="I618" s="6">
        <f>H618/F618</f>
        <v/>
      </c>
      <c r="J618" s="3" t="inlineStr">
        <is>
          <t>Mariana Alcantara</t>
        </is>
      </c>
      <c r="K618" s="7" t="inlineStr">
        <is>
          <t>B03</t>
        </is>
      </c>
      <c r="L618" s="7">
        <f>IF(H618=0, "Correto", "Divergente")</f>
        <v/>
      </c>
    </row>
    <row r="619">
      <c r="A619" s="8" t="n">
        <v>618</v>
      </c>
      <c r="B619" s="8" t="n">
        <v>195</v>
      </c>
      <c r="C619" s="9" t="inlineStr">
        <is>
          <t>Caixa de Som USB 10W (Modelo 1)</t>
        </is>
      </c>
      <c r="D619" s="9" t="inlineStr">
        <is>
          <t>Áudio</t>
        </is>
      </c>
      <c r="E619" s="10" t="inlineStr">
        <is>
          <t>2026-08-10</t>
        </is>
      </c>
      <c r="F619" s="11" t="n">
        <v>2216</v>
      </c>
      <c r="G619" s="11" t="n">
        <v>2216</v>
      </c>
      <c r="H619" s="11">
        <f>G619-F619</f>
        <v/>
      </c>
      <c r="I619" s="12">
        <f>H619/F619</f>
        <v/>
      </c>
      <c r="J619" s="9" t="inlineStr">
        <is>
          <t>Marcelo Fontes</t>
        </is>
      </c>
      <c r="K619" s="13" t="inlineStr">
        <is>
          <t>Depósito Externo</t>
        </is>
      </c>
      <c r="L619" s="13">
        <f>IF(H619=0, "Correto", "Divergente")</f>
        <v/>
      </c>
    </row>
    <row r="620">
      <c r="A620" s="2" t="n">
        <v>619</v>
      </c>
      <c r="B620" s="2" t="n">
        <v>9</v>
      </c>
      <c r="C620" s="3" t="inlineStr">
        <is>
          <t>Cabo DisplayPort 1.4 1.8m (Modelo 10)</t>
        </is>
      </c>
      <c r="D620" s="3" t="inlineStr">
        <is>
          <t>Acessórios</t>
        </is>
      </c>
      <c r="E620" s="4" t="inlineStr">
        <is>
          <t>2025-03-11</t>
        </is>
      </c>
      <c r="F620" s="5" t="n">
        <v>1479</v>
      </c>
      <c r="G620" s="5" t="n">
        <v>1532</v>
      </c>
      <c r="H620" s="5">
        <f>G620-F620</f>
        <v/>
      </c>
      <c r="I620" s="6">
        <f>H620/F620</f>
        <v/>
      </c>
      <c r="J620" s="3" t="inlineStr">
        <is>
          <t>Carlos Eduardo Rocha</t>
        </is>
      </c>
      <c r="K620" s="7" t="inlineStr">
        <is>
          <t>C01</t>
        </is>
      </c>
      <c r="L620" s="7">
        <f>IF(H620=0, "Correto", "Divergente")</f>
        <v/>
      </c>
    </row>
    <row r="621">
      <c r="A621" s="8" t="n">
        <v>620</v>
      </c>
      <c r="B621" s="8" t="n">
        <v>159</v>
      </c>
      <c r="C621" s="9" t="inlineStr">
        <is>
          <t>Hub USB-C 7 em 1 (Modelo 10)</t>
        </is>
      </c>
      <c r="D621" s="9" t="inlineStr">
        <is>
          <t>Acessórios</t>
        </is>
      </c>
      <c r="E621" s="10" t="inlineStr">
        <is>
          <t>2026-10-22</t>
        </is>
      </c>
      <c r="F621" s="11" t="n">
        <v>1867</v>
      </c>
      <c r="G621" s="11" t="n">
        <v>1867</v>
      </c>
      <c r="H621" s="11">
        <f>G621-F621</f>
        <v/>
      </c>
      <c r="I621" s="12">
        <f>H621/F621</f>
        <v/>
      </c>
      <c r="J621" s="9" t="inlineStr">
        <is>
          <t>Mariana Alcantara</t>
        </is>
      </c>
      <c r="K621" s="13" t="inlineStr">
        <is>
          <t>Depósito Externo</t>
        </is>
      </c>
      <c r="L621" s="13">
        <f>IF(H621=0, "Correto", "Divergente")</f>
        <v/>
      </c>
    </row>
    <row r="622">
      <c r="A622" s="2" t="n">
        <v>621</v>
      </c>
      <c r="B622" s="2" t="n">
        <v>10</v>
      </c>
      <c r="C622" s="3" t="inlineStr">
        <is>
          <t>Fonte Atx 500W 80 Plus (Modelo 11)</t>
        </is>
      </c>
      <c r="D622" s="3" t="inlineStr">
        <is>
          <t>Componentes</t>
        </is>
      </c>
      <c r="E622" s="4" t="inlineStr">
        <is>
          <t>2025-04-27</t>
        </is>
      </c>
      <c r="F622" s="5" t="n">
        <v>1423</v>
      </c>
      <c r="G622" s="5" t="n">
        <v>1423</v>
      </c>
      <c r="H622" s="5">
        <f>G622-F622</f>
        <v/>
      </c>
      <c r="I622" s="6">
        <f>H622/F622</f>
        <v/>
      </c>
      <c r="J622" s="3" t="inlineStr">
        <is>
          <t>Mariana Alcantara</t>
        </is>
      </c>
      <c r="K622" s="7" t="inlineStr">
        <is>
          <t>Depósito Externo</t>
        </is>
      </c>
      <c r="L622" s="7">
        <f>IF(H622=0, "Correto", "Divergente")</f>
        <v/>
      </c>
    </row>
    <row r="623">
      <c r="A623" s="8" t="n">
        <v>622</v>
      </c>
      <c r="B623" s="8" t="n">
        <v>38</v>
      </c>
      <c r="C623" s="9" t="inlineStr">
        <is>
          <t>Switch Gigabit 16 Portas (Modelo 9)</t>
        </is>
      </c>
      <c r="D623" s="9" t="inlineStr">
        <is>
          <t>Redes</t>
        </is>
      </c>
      <c r="E623" s="10" t="inlineStr">
        <is>
          <t>2026-08-30</t>
        </is>
      </c>
      <c r="F623" s="11" t="n">
        <v>1344</v>
      </c>
      <c r="G623" s="11" t="n">
        <v>1276</v>
      </c>
      <c r="H623" s="11">
        <f>G623-F623</f>
        <v/>
      </c>
      <c r="I623" s="12">
        <f>H623/F623</f>
        <v/>
      </c>
      <c r="J623" s="9" t="inlineStr">
        <is>
          <t>Fernanda Vasconcelos</t>
        </is>
      </c>
      <c r="K623" s="13" t="inlineStr">
        <is>
          <t>A03</t>
        </is>
      </c>
      <c r="L623" s="13">
        <f>IF(H623=0, "Correto", "Divergente")</f>
        <v/>
      </c>
    </row>
    <row r="624">
      <c r="A624" s="2" t="n">
        <v>623</v>
      </c>
      <c r="B624" s="2" t="n">
        <v>158</v>
      </c>
      <c r="C624" s="3" t="inlineStr">
        <is>
          <t>Switch Gigabit 16 Portas (Modelo 9)</t>
        </is>
      </c>
      <c r="D624" s="3" t="inlineStr">
        <is>
          <t>Redes</t>
        </is>
      </c>
      <c r="E624" s="4" t="inlineStr">
        <is>
          <t>2026-11-29</t>
        </is>
      </c>
      <c r="F624" s="5" t="n">
        <v>3217</v>
      </c>
      <c r="G624" s="5" t="n">
        <v>3328</v>
      </c>
      <c r="H624" s="5">
        <f>G624-F624</f>
        <v/>
      </c>
      <c r="I624" s="6">
        <f>H624/F624</f>
        <v/>
      </c>
      <c r="J624" s="3" t="inlineStr">
        <is>
          <t>Gustavo Silveira</t>
        </is>
      </c>
      <c r="K624" s="7" t="inlineStr">
        <is>
          <t>C02</t>
        </is>
      </c>
      <c r="L624" s="7">
        <f>IF(H624=0, "Correto", "Divergente")</f>
        <v/>
      </c>
    </row>
    <row r="625">
      <c r="A625" s="8" t="n">
        <v>624</v>
      </c>
      <c r="B625" s="8" t="n">
        <v>10</v>
      </c>
      <c r="C625" s="9" t="inlineStr">
        <is>
          <t>Fonte Atx 500W 80 Plus (Modelo 11)</t>
        </is>
      </c>
      <c r="D625" s="9" t="inlineStr">
        <is>
          <t>Componentes</t>
        </is>
      </c>
      <c r="E625" s="10" t="inlineStr">
        <is>
          <t>2025-04-26</t>
        </is>
      </c>
      <c r="F625" s="11" t="n">
        <v>3175</v>
      </c>
      <c r="G625" s="11" t="n">
        <v>3175</v>
      </c>
      <c r="H625" s="11">
        <f>G625-F625</f>
        <v/>
      </c>
      <c r="I625" s="12">
        <f>H625/F625</f>
        <v/>
      </c>
      <c r="J625" s="9" t="inlineStr">
        <is>
          <t>Patricia Prado</t>
        </is>
      </c>
      <c r="K625" s="13" t="inlineStr">
        <is>
          <t>A01</t>
        </is>
      </c>
      <c r="L625" s="13">
        <f>IF(H625=0, "Correto", "Divergente")</f>
        <v/>
      </c>
    </row>
    <row r="626">
      <c r="A626" s="2" t="n">
        <v>625</v>
      </c>
      <c r="B626" s="2" t="n">
        <v>94</v>
      </c>
      <c r="C626" s="3" t="inlineStr">
        <is>
          <t>Toner HP Preto Original (Modelo 5)</t>
        </is>
      </c>
      <c r="D626" s="3" t="inlineStr">
        <is>
          <t>Impressão</t>
        </is>
      </c>
      <c r="E626" s="4" t="inlineStr">
        <is>
          <t>2026-09-29</t>
        </is>
      </c>
      <c r="F626" s="5" t="n">
        <v>2583</v>
      </c>
      <c r="G626" s="5" t="n">
        <v>2583</v>
      </c>
      <c r="H626" s="5">
        <f>G626-F626</f>
        <v/>
      </c>
      <c r="I626" s="6">
        <f>H626/F626</f>
        <v/>
      </c>
      <c r="J626" s="3" t="inlineStr">
        <is>
          <t>Carlos Eduardo Rocha</t>
        </is>
      </c>
      <c r="K626" s="7" t="inlineStr">
        <is>
          <t>C03</t>
        </is>
      </c>
      <c r="L626" s="7">
        <f>IF(H626=0, "Correto", "Divergente")</f>
        <v/>
      </c>
    </row>
    <row r="627">
      <c r="A627" s="8" t="n">
        <v>626</v>
      </c>
      <c r="B627" s="8" t="n">
        <v>23</v>
      </c>
      <c r="C627" s="9" t="inlineStr">
        <is>
          <t>Monitor 4K 32" Profissional (Modelo 9)</t>
        </is>
      </c>
      <c r="D627" s="9" t="inlineStr">
        <is>
          <t>Monitores</t>
        </is>
      </c>
      <c r="E627" s="10" t="inlineStr">
        <is>
          <t>2025-11-23</t>
        </is>
      </c>
      <c r="F627" s="11" t="n">
        <v>23</v>
      </c>
      <c r="G627" s="11" t="n">
        <v>23</v>
      </c>
      <c r="H627" s="11">
        <f>G627-F627</f>
        <v/>
      </c>
      <c r="I627" s="12">
        <f>H627/F627</f>
        <v/>
      </c>
      <c r="J627" s="9" t="inlineStr">
        <is>
          <t>Camila Azevedo</t>
        </is>
      </c>
      <c r="K627" s="13" t="inlineStr">
        <is>
          <t>A03</t>
        </is>
      </c>
      <c r="L627" s="13">
        <f>IF(H627=0, "Correto", "Divergente")</f>
        <v/>
      </c>
    </row>
    <row r="628">
      <c r="A628" s="2" t="n">
        <v>627</v>
      </c>
      <c r="B628" s="2" t="n">
        <v>146</v>
      </c>
      <c r="C628" s="3" t="inlineStr">
        <is>
          <t>SSD NVMe 1TB M.2 (Modelo 12)</t>
        </is>
      </c>
      <c r="D628" s="3" t="inlineStr">
        <is>
          <t>Armazenamento</t>
        </is>
      </c>
      <c r="E628" s="4" t="inlineStr">
        <is>
          <t>2024-10-22</t>
        </is>
      </c>
      <c r="F628" s="5" t="n">
        <v>1890</v>
      </c>
      <c r="G628" s="5" t="n">
        <v>1890</v>
      </c>
      <c r="H628" s="5">
        <f>G628-F628</f>
        <v/>
      </c>
      <c r="I628" s="6">
        <f>H628/F628</f>
        <v/>
      </c>
      <c r="J628" s="3" t="inlineStr">
        <is>
          <t>Mariana Alcantara</t>
        </is>
      </c>
      <c r="K628" s="7" t="inlineStr">
        <is>
          <t>B01</t>
        </is>
      </c>
      <c r="L628" s="7">
        <f>IF(H628=0, "Correto", "Divergente")</f>
        <v/>
      </c>
    </row>
    <row r="629">
      <c r="A629" s="8" t="n">
        <v>628</v>
      </c>
      <c r="B629" s="8" t="n">
        <v>19</v>
      </c>
      <c r="C629" s="9" t="inlineStr">
        <is>
          <t>Hub USB-C 7 em 1 (Modelo 5)</t>
        </is>
      </c>
      <c r="D629" s="9" t="inlineStr">
        <is>
          <t>Acessórios</t>
        </is>
      </c>
      <c r="E629" s="10" t="inlineStr">
        <is>
          <t>2026-10-20</t>
        </is>
      </c>
      <c r="F629" s="11" t="n">
        <v>326</v>
      </c>
      <c r="G629" s="11" t="n">
        <v>313</v>
      </c>
      <c r="H629" s="11">
        <f>G629-F629</f>
        <v/>
      </c>
      <c r="I629" s="12">
        <f>H629/F629</f>
        <v/>
      </c>
      <c r="J629" s="9" t="inlineStr">
        <is>
          <t>Beatriz Castilho</t>
        </is>
      </c>
      <c r="K629" s="13" t="inlineStr">
        <is>
          <t>C02</t>
        </is>
      </c>
      <c r="L629" s="13">
        <f>IF(H629=0, "Correto", "Divergente")</f>
        <v/>
      </c>
    </row>
    <row r="630">
      <c r="A630" s="2" t="n">
        <v>629</v>
      </c>
      <c r="B630" s="2" t="n">
        <v>68</v>
      </c>
      <c r="C630" s="3" t="inlineStr">
        <is>
          <t>Switch Gigabit 16 Portas (Modelo 9)</t>
        </is>
      </c>
      <c r="D630" s="3" t="inlineStr">
        <is>
          <t>Redes</t>
        </is>
      </c>
      <c r="E630" s="4" t="inlineStr">
        <is>
          <t>2026-09-20</t>
        </is>
      </c>
      <c r="F630" s="5" t="n">
        <v>851</v>
      </c>
      <c r="G630" s="5" t="n">
        <v>851</v>
      </c>
      <c r="H630" s="5">
        <f>G630-F630</f>
        <v/>
      </c>
      <c r="I630" s="6">
        <f>H630/F630</f>
        <v/>
      </c>
      <c r="J630" s="3" t="inlineStr">
        <is>
          <t>Gustavo Silveira</t>
        </is>
      </c>
      <c r="K630" s="7" t="inlineStr">
        <is>
          <t>C03</t>
        </is>
      </c>
      <c r="L630" s="7">
        <f>IF(H630=0, "Correto", "Divergente")</f>
        <v/>
      </c>
    </row>
    <row r="631">
      <c r="A631" s="8" t="n">
        <v>630</v>
      </c>
      <c r="B631" s="8" t="n">
        <v>51</v>
      </c>
      <c r="C631" s="9" t="inlineStr">
        <is>
          <t>Desktop Core i5 8GB (Modelo 7)</t>
        </is>
      </c>
      <c r="D631" s="9" t="inlineStr">
        <is>
          <t>Informática</t>
        </is>
      </c>
      <c r="E631" s="10" t="inlineStr">
        <is>
          <t>2024-08-30</t>
        </is>
      </c>
      <c r="F631" s="11" t="n">
        <v>2190</v>
      </c>
      <c r="G631" s="11" t="n">
        <v>2190</v>
      </c>
      <c r="H631" s="11">
        <f>G631-F631</f>
        <v/>
      </c>
      <c r="I631" s="12">
        <f>H631/F631</f>
        <v/>
      </c>
      <c r="J631" s="9" t="inlineStr">
        <is>
          <t>Marcelo Fontes</t>
        </is>
      </c>
      <c r="K631" s="13" t="inlineStr">
        <is>
          <t>B03</t>
        </is>
      </c>
      <c r="L631" s="13">
        <f>IF(H631=0, "Correto", "Divergente")</f>
        <v/>
      </c>
    </row>
    <row r="632">
      <c r="A632" s="2" t="n">
        <v>631</v>
      </c>
      <c r="B632" s="2" t="n">
        <v>1</v>
      </c>
      <c r="C632" s="3" t="inlineStr">
        <is>
          <t>Notebook Corporate i5 16GB (Modelo 2)</t>
        </is>
      </c>
      <c r="D632" s="3" t="inlineStr">
        <is>
          <t>Informática</t>
        </is>
      </c>
      <c r="E632" s="4" t="inlineStr">
        <is>
          <t>2025-03-06</t>
        </is>
      </c>
      <c r="F632" s="5" t="n">
        <v>2086</v>
      </c>
      <c r="G632" s="5" t="n">
        <v>2086</v>
      </c>
      <c r="H632" s="5">
        <f>G632-F632</f>
        <v/>
      </c>
      <c r="I632" s="6">
        <f>H632/F632</f>
        <v/>
      </c>
      <c r="J632" s="3" t="inlineStr">
        <is>
          <t>Fernanda Vasconcelos</t>
        </is>
      </c>
      <c r="K632" s="7" t="inlineStr">
        <is>
          <t>A01</t>
        </is>
      </c>
      <c r="L632" s="7">
        <f>IF(H632=0, "Correto", "Divergente")</f>
        <v/>
      </c>
    </row>
    <row r="633">
      <c r="A633" s="8" t="n">
        <v>632</v>
      </c>
      <c r="B633" s="8" t="n">
        <v>73</v>
      </c>
      <c r="C633" s="9" t="inlineStr">
        <is>
          <t>Monitor LED 21.5" Full HD (Modelo 14)</t>
        </is>
      </c>
      <c r="D633" s="9" t="inlineStr">
        <is>
          <t>Monitores</t>
        </is>
      </c>
      <c r="E633" s="10" t="inlineStr">
        <is>
          <t>2024-02-08</t>
        </is>
      </c>
      <c r="F633" s="11" t="n">
        <v>2642</v>
      </c>
      <c r="G633" s="11" t="n">
        <v>2642</v>
      </c>
      <c r="H633" s="11">
        <f>G633-F633</f>
        <v/>
      </c>
      <c r="I633" s="12">
        <f>H633/F633</f>
        <v/>
      </c>
      <c r="J633" s="9" t="inlineStr">
        <is>
          <t>Marcelo Fontes</t>
        </is>
      </c>
      <c r="K633" s="13" t="inlineStr">
        <is>
          <t>C02</t>
        </is>
      </c>
      <c r="L633" s="13">
        <f>IF(H633=0, "Correto", "Divergente")</f>
        <v/>
      </c>
    </row>
    <row r="634">
      <c r="A634" s="2" t="n">
        <v>633</v>
      </c>
      <c r="B634" s="2" t="n">
        <v>173</v>
      </c>
      <c r="C634" s="3" t="inlineStr">
        <is>
          <t>Monitor 4K 32" Profissional (Modelo 9)</t>
        </is>
      </c>
      <c r="D634" s="3" t="inlineStr">
        <is>
          <t>Monitores</t>
        </is>
      </c>
      <c r="E634" s="4" t="inlineStr">
        <is>
          <t>2025-04-08</t>
        </is>
      </c>
      <c r="F634" s="5" t="n">
        <v>2943</v>
      </c>
      <c r="G634" s="5" t="n">
        <v>2943</v>
      </c>
      <c r="H634" s="5">
        <f>G634-F634</f>
        <v/>
      </c>
      <c r="I634" s="6">
        <f>H634/F634</f>
        <v/>
      </c>
      <c r="J634" s="3" t="inlineStr">
        <is>
          <t>Marcelo Fontes</t>
        </is>
      </c>
      <c r="K634" s="7" t="inlineStr">
        <is>
          <t>B02</t>
        </is>
      </c>
      <c r="L634" s="7">
        <f>IF(H634=0, "Correto", "Divergente")</f>
        <v/>
      </c>
    </row>
    <row r="635">
      <c r="A635" s="8" t="n">
        <v>634</v>
      </c>
      <c r="B635" s="8" t="n">
        <v>108</v>
      </c>
      <c r="C635" s="9" t="inlineStr">
        <is>
          <t>Repetidor Wi-Fi 1200Mbps (Modelo 4)</t>
        </is>
      </c>
      <c r="D635" s="9" t="inlineStr">
        <is>
          <t>Redes</t>
        </is>
      </c>
      <c r="E635" s="10" t="inlineStr">
        <is>
          <t>2025-03-05</t>
        </is>
      </c>
      <c r="F635" s="11" t="n">
        <v>659</v>
      </c>
      <c r="G635" s="11" t="n">
        <v>659</v>
      </c>
      <c r="H635" s="11">
        <f>G635-F635</f>
        <v/>
      </c>
      <c r="I635" s="12">
        <f>H635/F635</f>
        <v/>
      </c>
      <c r="J635" s="9" t="inlineStr">
        <is>
          <t>Roberto Fernandes</t>
        </is>
      </c>
      <c r="K635" s="13" t="inlineStr">
        <is>
          <t>C02</t>
        </is>
      </c>
      <c r="L635" s="13">
        <f>IF(H635=0, "Correto", "Divergente")</f>
        <v/>
      </c>
    </row>
    <row r="636">
      <c r="A636" s="2" t="n">
        <v>635</v>
      </c>
      <c r="B636" s="2" t="n">
        <v>173</v>
      </c>
      <c r="C636" s="3" t="inlineStr">
        <is>
          <t>Monitor 4K 32" Profissional (Modelo 9)</t>
        </is>
      </c>
      <c r="D636" s="3" t="inlineStr">
        <is>
          <t>Monitores</t>
        </is>
      </c>
      <c r="E636" s="4" t="inlineStr">
        <is>
          <t>2026-09-14</t>
        </is>
      </c>
      <c r="F636" s="5" t="n">
        <v>4801</v>
      </c>
      <c r="G636" s="5" t="n">
        <v>4801</v>
      </c>
      <c r="H636" s="5">
        <f>G636-F636</f>
        <v/>
      </c>
      <c r="I636" s="6">
        <f>H636/F636</f>
        <v/>
      </c>
      <c r="J636" s="3" t="inlineStr">
        <is>
          <t>Roberto Fernandes</t>
        </is>
      </c>
      <c r="K636" s="7" t="inlineStr">
        <is>
          <t>C02</t>
        </is>
      </c>
      <c r="L636" s="7">
        <f>IF(H636=0, "Correto", "Divergente")</f>
        <v/>
      </c>
    </row>
    <row r="637">
      <c r="A637" s="8" t="n">
        <v>636</v>
      </c>
      <c r="B637" s="8" t="n">
        <v>13</v>
      </c>
      <c r="C637" s="9" t="inlineStr">
        <is>
          <t>Monitor LED 21.5" Full HD (Modelo 14)</t>
        </is>
      </c>
      <c r="D637" s="9" t="inlineStr">
        <is>
          <t>Monitores</t>
        </is>
      </c>
      <c r="E637" s="10" t="inlineStr">
        <is>
          <t>2024-07-08</t>
        </is>
      </c>
      <c r="F637" s="11" t="n">
        <v>699</v>
      </c>
      <c r="G637" s="11" t="n">
        <v>699</v>
      </c>
      <c r="H637" s="11">
        <f>G637-F637</f>
        <v/>
      </c>
      <c r="I637" s="12">
        <f>H637/F637</f>
        <v/>
      </c>
      <c r="J637" s="9" t="inlineStr">
        <is>
          <t>Ricardo Mendes</t>
        </is>
      </c>
      <c r="K637" s="13" t="inlineStr">
        <is>
          <t>B02</t>
        </is>
      </c>
      <c r="L637" s="13">
        <f>IF(H637=0, "Correto", "Divergente")</f>
        <v/>
      </c>
    </row>
    <row r="638">
      <c r="A638" s="2" t="n">
        <v>637</v>
      </c>
      <c r="B638" s="2" t="n">
        <v>109</v>
      </c>
      <c r="C638" s="3" t="inlineStr">
        <is>
          <t>Nobreak 1200VA Bivolt (Modelo 5)</t>
        </is>
      </c>
      <c r="D638" s="3" t="inlineStr">
        <is>
          <t>Acessórios</t>
        </is>
      </c>
      <c r="E638" s="4" t="inlineStr">
        <is>
          <t>2026-01-26</t>
        </is>
      </c>
      <c r="F638" s="5" t="n">
        <v>833</v>
      </c>
      <c r="G638" s="5" t="n">
        <v>833</v>
      </c>
      <c r="H638" s="5">
        <f>G638-F638</f>
        <v/>
      </c>
      <c r="I638" s="6">
        <f>H638/F638</f>
        <v/>
      </c>
      <c r="J638" s="3" t="inlineStr">
        <is>
          <t>Roberto Fernandes</t>
        </is>
      </c>
      <c r="K638" s="7" t="inlineStr">
        <is>
          <t>Depósito Externo</t>
        </is>
      </c>
      <c r="L638" s="7">
        <f>IF(H638=0, "Correto", "Divergente")</f>
        <v/>
      </c>
    </row>
    <row r="639">
      <c r="A639" s="8" t="n">
        <v>638</v>
      </c>
      <c r="B639" s="8" t="n">
        <v>41</v>
      </c>
      <c r="C639" s="9" t="inlineStr">
        <is>
          <t>Notebook Corporate i5 16GB (Modelo 12)</t>
        </is>
      </c>
      <c r="D639" s="9" t="inlineStr">
        <is>
          <t>Informática</t>
        </is>
      </c>
      <c r="E639" s="10" t="inlineStr">
        <is>
          <t>2026-02-06</t>
        </is>
      </c>
      <c r="F639" s="11" t="n">
        <v>4012</v>
      </c>
      <c r="G639" s="11" t="n">
        <v>4012</v>
      </c>
      <c r="H639" s="11">
        <f>G639-F639</f>
        <v/>
      </c>
      <c r="I639" s="12">
        <f>H639/F639</f>
        <v/>
      </c>
      <c r="J639" s="9" t="inlineStr">
        <is>
          <t>Marcelo Fontes</t>
        </is>
      </c>
      <c r="K639" s="13" t="inlineStr">
        <is>
          <t>A02</t>
        </is>
      </c>
      <c r="L639" s="13">
        <f>IF(H639=0, "Correto", "Divergente")</f>
        <v/>
      </c>
    </row>
    <row r="640">
      <c r="A640" s="2" t="n">
        <v>639</v>
      </c>
      <c r="B640" s="2" t="n">
        <v>119</v>
      </c>
      <c r="C640" s="3" t="inlineStr">
        <is>
          <t>Mousepad Extra Grande (Modelo 15)</t>
        </is>
      </c>
      <c r="D640" s="3" t="inlineStr">
        <is>
          <t>Acessórios</t>
        </is>
      </c>
      <c r="E640" s="4" t="inlineStr">
        <is>
          <t>2025-04-06</t>
        </is>
      </c>
      <c r="F640" s="5" t="n">
        <v>3171</v>
      </c>
      <c r="G640" s="5" t="n">
        <v>3171</v>
      </c>
      <c r="H640" s="5">
        <f>G640-F640</f>
        <v/>
      </c>
      <c r="I640" s="6">
        <f>H640/F640</f>
        <v/>
      </c>
      <c r="J640" s="3" t="inlineStr">
        <is>
          <t>Marcelo Fontes</t>
        </is>
      </c>
      <c r="K640" s="7" t="inlineStr">
        <is>
          <t>B02</t>
        </is>
      </c>
      <c r="L640" s="7">
        <f>IF(H640=0, "Correto", "Divergente")</f>
        <v/>
      </c>
    </row>
    <row r="641">
      <c r="A641" s="8" t="n">
        <v>640</v>
      </c>
      <c r="B641" s="8" t="n">
        <v>26</v>
      </c>
      <c r="C641" s="9" t="inlineStr">
        <is>
          <t>SSD NVMe 1TB M.2 (Modelo 12)</t>
        </is>
      </c>
      <c r="D641" s="9" t="inlineStr">
        <is>
          <t>Armazenamento</t>
        </is>
      </c>
      <c r="E641" s="10" t="inlineStr">
        <is>
          <t>2025-11-30</t>
        </is>
      </c>
      <c r="F641" s="11" t="n">
        <v>2643</v>
      </c>
      <c r="G641" s="11" t="n">
        <v>2643</v>
      </c>
      <c r="H641" s="11">
        <f>G641-F641</f>
        <v/>
      </c>
      <c r="I641" s="12">
        <f>H641/F641</f>
        <v/>
      </c>
      <c r="J641" s="9" t="inlineStr">
        <is>
          <t>Gustavo Silveira</t>
        </is>
      </c>
      <c r="K641" s="13" t="inlineStr">
        <is>
          <t>A01</t>
        </is>
      </c>
      <c r="L641" s="13">
        <f>IF(H641=0, "Correto", "Divergente")</f>
        <v/>
      </c>
    </row>
    <row r="642">
      <c r="A642" s="2" t="n">
        <v>641</v>
      </c>
      <c r="B642" s="2" t="n">
        <v>188</v>
      </c>
      <c r="C642" s="3" t="inlineStr">
        <is>
          <t>Switch Gigabit 16 Portas (Modelo 9)</t>
        </is>
      </c>
      <c r="D642" s="3" t="inlineStr">
        <is>
          <t>Redes</t>
        </is>
      </c>
      <c r="E642" s="4" t="inlineStr">
        <is>
          <t>2024-03-01</t>
        </is>
      </c>
      <c r="F642" s="5" t="n">
        <v>1226</v>
      </c>
      <c r="G642" s="5" t="n">
        <v>1226</v>
      </c>
      <c r="H642" s="5">
        <f>G642-F642</f>
        <v/>
      </c>
      <c r="I642" s="6">
        <f>H642/F642</f>
        <v/>
      </c>
      <c r="J642" s="3" t="inlineStr">
        <is>
          <t>Roberto Fernandes</t>
        </is>
      </c>
      <c r="K642" s="7" t="inlineStr">
        <is>
          <t>B01</t>
        </is>
      </c>
      <c r="L642" s="7">
        <f>IF(H642=0, "Correto", "Divergente")</f>
        <v/>
      </c>
    </row>
    <row r="643">
      <c r="A643" s="8" t="n">
        <v>642</v>
      </c>
      <c r="B643" s="8" t="n">
        <v>48</v>
      </c>
      <c r="C643" s="9" t="inlineStr">
        <is>
          <t>Repetidor Wi-Fi 1200Mbps (Modelo 4)</t>
        </is>
      </c>
      <c r="D643" s="9" t="inlineStr">
        <is>
          <t>Redes</t>
        </is>
      </c>
      <c r="E643" s="10" t="inlineStr">
        <is>
          <t>2025-07-07</t>
        </is>
      </c>
      <c r="F643" s="11" t="n">
        <v>2575</v>
      </c>
      <c r="G643" s="11" t="n">
        <v>2613</v>
      </c>
      <c r="H643" s="11">
        <f>G643-F643</f>
        <v/>
      </c>
      <c r="I643" s="12">
        <f>H643/F643</f>
        <v/>
      </c>
      <c r="J643" s="9" t="inlineStr">
        <is>
          <t>Carlos Eduardo Rocha</t>
        </is>
      </c>
      <c r="K643" s="13" t="inlineStr">
        <is>
          <t>B03</t>
        </is>
      </c>
      <c r="L643" s="13">
        <f>IF(H643=0, "Correto", "Divergente")</f>
        <v/>
      </c>
    </row>
    <row r="644">
      <c r="A644" s="2" t="n">
        <v>643</v>
      </c>
      <c r="B644" s="2" t="n">
        <v>67</v>
      </c>
      <c r="C644" s="3" t="inlineStr">
        <is>
          <t>Smartphone Empresarial 128GB (Modelo 8)</t>
        </is>
      </c>
      <c r="D644" s="3" t="inlineStr">
        <is>
          <t>Smartphones</t>
        </is>
      </c>
      <c r="E644" s="4" t="inlineStr">
        <is>
          <t>2025-03-27</t>
        </is>
      </c>
      <c r="F644" s="5" t="n">
        <v>2152</v>
      </c>
      <c r="G644" s="5" t="n">
        <v>2152</v>
      </c>
      <c r="H644" s="5">
        <f>G644-F644</f>
        <v/>
      </c>
      <c r="I644" s="6">
        <f>H644/F644</f>
        <v/>
      </c>
      <c r="J644" s="3" t="inlineStr">
        <is>
          <t>Beatriz Castilho</t>
        </is>
      </c>
      <c r="K644" s="7" t="inlineStr">
        <is>
          <t>B01</t>
        </is>
      </c>
      <c r="L644" s="7">
        <f>IF(H644=0, "Correto", "Divergente")</f>
        <v/>
      </c>
    </row>
    <row r="645">
      <c r="A645" s="8" t="n">
        <v>644</v>
      </c>
      <c r="B645" s="8" t="n">
        <v>25</v>
      </c>
      <c r="C645" s="9" t="inlineStr">
        <is>
          <t>Headset USB com Cancelamento de Ruído (Modelo 11)</t>
        </is>
      </c>
      <c r="D645" s="9" t="inlineStr">
        <is>
          <t>Áudio</t>
        </is>
      </c>
      <c r="E645" s="10" t="inlineStr">
        <is>
          <t>2024-12-18</t>
        </is>
      </c>
      <c r="F645" s="11" t="n">
        <v>63</v>
      </c>
      <c r="G645" s="11" t="n">
        <v>63</v>
      </c>
      <c r="H645" s="11">
        <f>G645-F645</f>
        <v/>
      </c>
      <c r="I645" s="12">
        <f>H645/F645</f>
        <v/>
      </c>
      <c r="J645" s="9" t="inlineStr">
        <is>
          <t>Ricardo Mendes</t>
        </is>
      </c>
      <c r="K645" s="13" t="inlineStr">
        <is>
          <t>A02</t>
        </is>
      </c>
      <c r="L645" s="13">
        <f>IF(H645=0, "Correto", "Divergente")</f>
        <v/>
      </c>
    </row>
    <row r="646">
      <c r="A646" s="2" t="n">
        <v>645</v>
      </c>
      <c r="B646" s="2" t="n">
        <v>37</v>
      </c>
      <c r="C646" s="3" t="inlineStr">
        <is>
          <t>Smartphone Empresarial 128GB (Modelo 8)</t>
        </is>
      </c>
      <c r="D646" s="3" t="inlineStr">
        <is>
          <t>Smartphones</t>
        </is>
      </c>
      <c r="E646" s="4" t="inlineStr">
        <is>
          <t>2025-07-13</t>
        </is>
      </c>
      <c r="F646" s="5" t="n">
        <v>1743</v>
      </c>
      <c r="G646" s="5" t="n">
        <v>1743</v>
      </c>
      <c r="H646" s="5">
        <f>G646-F646</f>
        <v/>
      </c>
      <c r="I646" s="6">
        <f>H646/F646</f>
        <v/>
      </c>
      <c r="J646" s="3" t="inlineStr">
        <is>
          <t>Mariana Alcantara</t>
        </is>
      </c>
      <c r="K646" s="7" t="inlineStr">
        <is>
          <t>B02</t>
        </is>
      </c>
      <c r="L646" s="7">
        <f>IF(H646=0, "Correto", "Divergente")</f>
        <v/>
      </c>
    </row>
    <row r="647">
      <c r="A647" s="8" t="n">
        <v>646</v>
      </c>
      <c r="B647" s="8" t="n">
        <v>72</v>
      </c>
      <c r="C647" s="9" t="inlineStr">
        <is>
          <t>Teclado Sem Fio Ergológico (Modelo 13)</t>
        </is>
      </c>
      <c r="D647" s="9" t="inlineStr">
        <is>
          <t>Periféricos</t>
        </is>
      </c>
      <c r="E647" s="10" t="inlineStr">
        <is>
          <t>2025-10-12</t>
        </is>
      </c>
      <c r="F647" s="11" t="n">
        <v>3244</v>
      </c>
      <c r="G647" s="11" t="n">
        <v>3244</v>
      </c>
      <c r="H647" s="11">
        <f>G647-F647</f>
        <v/>
      </c>
      <c r="I647" s="12">
        <f>H647/F647</f>
        <v/>
      </c>
      <c r="J647" s="9" t="inlineStr">
        <is>
          <t>Fernanda Vasconcelos</t>
        </is>
      </c>
      <c r="K647" s="13" t="inlineStr">
        <is>
          <t>C03</t>
        </is>
      </c>
      <c r="L647" s="13">
        <f>IF(H647=0, "Correto", "Divergente")</f>
        <v/>
      </c>
    </row>
    <row r="648">
      <c r="A648" s="2" t="n">
        <v>647</v>
      </c>
      <c r="B648" s="2" t="n">
        <v>37</v>
      </c>
      <c r="C648" s="3" t="inlineStr">
        <is>
          <t>Smartphone Empresarial 128GB (Modelo 8)</t>
        </is>
      </c>
      <c r="D648" s="3" t="inlineStr">
        <is>
          <t>Smartphones</t>
        </is>
      </c>
      <c r="E648" s="4" t="inlineStr">
        <is>
          <t>2025-02-26</t>
        </is>
      </c>
      <c r="F648" s="5" t="n">
        <v>1322</v>
      </c>
      <c r="G648" s="5" t="n">
        <v>1322</v>
      </c>
      <c r="H648" s="5">
        <f>G648-F648</f>
        <v/>
      </c>
      <c r="I648" s="6">
        <f>H648/F648</f>
        <v/>
      </c>
      <c r="J648" s="3" t="inlineStr">
        <is>
          <t>Fernanda Vasconcelos</t>
        </is>
      </c>
      <c r="K648" s="7" t="inlineStr">
        <is>
          <t>C02</t>
        </is>
      </c>
      <c r="L648" s="7">
        <f>IF(H648=0, "Correto", "Divergente")</f>
        <v/>
      </c>
    </row>
    <row r="649">
      <c r="A649" s="8" t="n">
        <v>648</v>
      </c>
      <c r="B649" s="8" t="n">
        <v>122</v>
      </c>
      <c r="C649" s="9" t="inlineStr">
        <is>
          <t>Mouse Óptico USB (Modelo 3)</t>
        </is>
      </c>
      <c r="D649" s="9" t="inlineStr">
        <is>
          <t>Periféricos</t>
        </is>
      </c>
      <c r="E649" s="10" t="inlineStr">
        <is>
          <t>2025-09-06</t>
        </is>
      </c>
      <c r="F649" s="11" t="n">
        <v>4109</v>
      </c>
      <c r="G649" s="11" t="n">
        <v>4109</v>
      </c>
      <c r="H649" s="11">
        <f>G649-F649</f>
        <v/>
      </c>
      <c r="I649" s="12">
        <f>H649/F649</f>
        <v/>
      </c>
      <c r="J649" s="9" t="inlineStr">
        <is>
          <t>Mariana Alcantara</t>
        </is>
      </c>
      <c r="K649" s="13" t="inlineStr">
        <is>
          <t>A03</t>
        </is>
      </c>
      <c r="L649" s="13">
        <f>IF(H649=0, "Correto", "Divergente")</f>
        <v/>
      </c>
    </row>
    <row r="650">
      <c r="A650" s="2" t="n">
        <v>649</v>
      </c>
      <c r="B650" s="2" t="n">
        <v>46</v>
      </c>
      <c r="C650" s="3" t="inlineStr">
        <is>
          <t>HD Externo Portátil 2TB (Modelo 2)</t>
        </is>
      </c>
      <c r="D650" s="3" t="inlineStr">
        <is>
          <t>Armazenamento</t>
        </is>
      </c>
      <c r="E650" s="4" t="inlineStr">
        <is>
          <t>2026-10-25</t>
        </is>
      </c>
      <c r="F650" s="5" t="n">
        <v>1200</v>
      </c>
      <c r="G650" s="5" t="n">
        <v>1200</v>
      </c>
      <c r="H650" s="5">
        <f>G650-F650</f>
        <v/>
      </c>
      <c r="I650" s="6">
        <f>H650/F650</f>
        <v/>
      </c>
      <c r="J650" s="3" t="inlineStr">
        <is>
          <t>Marcelo Fontes</t>
        </is>
      </c>
      <c r="K650" s="7" t="inlineStr">
        <is>
          <t>B02</t>
        </is>
      </c>
      <c r="L650" s="7">
        <f>IF(H650=0, "Correto", "Divergente")</f>
        <v/>
      </c>
    </row>
    <row r="651">
      <c r="A651" s="8" t="n">
        <v>650</v>
      </c>
      <c r="B651" s="8" t="n">
        <v>151</v>
      </c>
      <c r="C651" s="9" t="inlineStr">
        <is>
          <t>Chromebook 11.6" (Modelo 2)</t>
        </is>
      </c>
      <c r="D651" s="9" t="inlineStr">
        <is>
          <t>Informática</t>
        </is>
      </c>
      <c r="E651" s="10" t="inlineStr">
        <is>
          <t>2024-04-19</t>
        </is>
      </c>
      <c r="F651" s="11" t="n">
        <v>3748</v>
      </c>
      <c r="G651" s="11" t="n">
        <v>3669</v>
      </c>
      <c r="H651" s="11">
        <f>G651-F651</f>
        <v/>
      </c>
      <c r="I651" s="12">
        <f>H651/F651</f>
        <v/>
      </c>
      <c r="J651" s="9" t="inlineStr">
        <is>
          <t>Carlos Eduardo Rocha</t>
        </is>
      </c>
      <c r="K651" s="13" t="inlineStr">
        <is>
          <t>B02</t>
        </is>
      </c>
      <c r="L651" s="13">
        <f>IF(H651=0, "Correto", "Divergente")</f>
        <v/>
      </c>
    </row>
    <row r="652">
      <c r="A652" s="2" t="n">
        <v>651</v>
      </c>
      <c r="B652" s="2" t="n">
        <v>112</v>
      </c>
      <c r="C652" s="3" t="inlineStr">
        <is>
          <t>Mesa Digitalizadora (Modelo 8)</t>
        </is>
      </c>
      <c r="D652" s="3" t="inlineStr">
        <is>
          <t>Periféricos</t>
        </is>
      </c>
      <c r="E652" s="4" t="inlineStr">
        <is>
          <t>2025-10-24</t>
        </is>
      </c>
      <c r="F652" s="5" t="n">
        <v>1318</v>
      </c>
      <c r="G652" s="5" t="n">
        <v>1318</v>
      </c>
      <c r="H652" s="5">
        <f>G652-F652</f>
        <v/>
      </c>
      <c r="I652" s="6">
        <f>H652/F652</f>
        <v/>
      </c>
      <c r="J652" s="3" t="inlineStr">
        <is>
          <t>Carlos Eduardo Rocha</t>
        </is>
      </c>
      <c r="K652" s="7" t="inlineStr">
        <is>
          <t>B01</t>
        </is>
      </c>
      <c r="L652" s="7">
        <f>IF(H652=0, "Correto", "Divergente")</f>
        <v/>
      </c>
    </row>
    <row r="653">
      <c r="A653" s="8" t="n">
        <v>652</v>
      </c>
      <c r="B653" s="8" t="n">
        <v>88</v>
      </c>
      <c r="C653" s="9" t="inlineStr">
        <is>
          <t>Access Point Wi-Fi Corporativo (Modelo 14)</t>
        </is>
      </c>
      <c r="D653" s="9" t="inlineStr">
        <is>
          <t>Redes</t>
        </is>
      </c>
      <c r="E653" s="10" t="inlineStr">
        <is>
          <t>2024-01-26</t>
        </is>
      </c>
      <c r="F653" s="11" t="n">
        <v>4452</v>
      </c>
      <c r="G653" s="11" t="n">
        <v>4452</v>
      </c>
      <c r="H653" s="11">
        <f>G653-F653</f>
        <v/>
      </c>
      <c r="I653" s="12">
        <f>H653/F653</f>
        <v/>
      </c>
      <c r="J653" s="9" t="inlineStr">
        <is>
          <t>Ricardo Mendes</t>
        </is>
      </c>
      <c r="K653" s="13" t="inlineStr">
        <is>
          <t>C02</t>
        </is>
      </c>
      <c r="L653" s="13">
        <f>IF(H653=0, "Correto", "Divergente")</f>
        <v/>
      </c>
    </row>
    <row r="654">
      <c r="A654" s="2" t="n">
        <v>653</v>
      </c>
      <c r="B654" s="2" t="n">
        <v>151</v>
      </c>
      <c r="C654" s="3" t="inlineStr">
        <is>
          <t>Chromebook 11.6" (Modelo 2)</t>
        </is>
      </c>
      <c r="D654" s="3" t="inlineStr">
        <is>
          <t>Informática</t>
        </is>
      </c>
      <c r="E654" s="4" t="inlineStr">
        <is>
          <t>2024-04-01</t>
        </is>
      </c>
      <c r="F654" s="5" t="n">
        <v>4472</v>
      </c>
      <c r="G654" s="5" t="n">
        <v>4472</v>
      </c>
      <c r="H654" s="5">
        <f>G654-F654</f>
        <v/>
      </c>
      <c r="I654" s="6">
        <f>H654/F654</f>
        <v/>
      </c>
      <c r="J654" s="3" t="inlineStr">
        <is>
          <t>Ricardo Mendes</t>
        </is>
      </c>
      <c r="K654" s="7" t="inlineStr">
        <is>
          <t>B01</t>
        </is>
      </c>
      <c r="L654" s="7">
        <f>IF(H654=0, "Correto", "Divergente")</f>
        <v/>
      </c>
    </row>
    <row r="655">
      <c r="A655" s="8" t="n">
        <v>654</v>
      </c>
      <c r="B655" s="8" t="n">
        <v>55</v>
      </c>
      <c r="C655" s="9" t="inlineStr">
        <is>
          <t>Headset USB com Cancelamento de Ruído (Modelo 11)</t>
        </is>
      </c>
      <c r="D655" s="9" t="inlineStr">
        <is>
          <t>Áudio</t>
        </is>
      </c>
      <c r="E655" s="10" t="inlineStr">
        <is>
          <t>2025-04-29</t>
        </is>
      </c>
      <c r="F655" s="11" t="n">
        <v>4925</v>
      </c>
      <c r="G655" s="11" t="n">
        <v>4925</v>
      </c>
      <c r="H655" s="11">
        <f>G655-F655</f>
        <v/>
      </c>
      <c r="I655" s="12">
        <f>H655/F655</f>
        <v/>
      </c>
      <c r="J655" s="9" t="inlineStr">
        <is>
          <t>Carlos Eduardo Rocha</t>
        </is>
      </c>
      <c r="K655" s="13" t="inlineStr">
        <is>
          <t>C03</t>
        </is>
      </c>
      <c r="L655" s="13">
        <f>IF(H655=0, "Correto", "Divergente")</f>
        <v/>
      </c>
    </row>
    <row r="656">
      <c r="A656" s="2" t="n">
        <v>655</v>
      </c>
      <c r="B656" s="2" t="n">
        <v>80</v>
      </c>
      <c r="C656" s="3" t="inlineStr">
        <is>
          <t>Memória RAM DDR4 16GB 3200MHz (Modelo 6)</t>
        </is>
      </c>
      <c r="D656" s="3" t="inlineStr">
        <is>
          <t>Componentes</t>
        </is>
      </c>
      <c r="E656" s="4" t="inlineStr">
        <is>
          <t>2024-07-22</t>
        </is>
      </c>
      <c r="F656" s="5" t="n">
        <v>3555</v>
      </c>
      <c r="G656" s="5" t="n">
        <v>3555</v>
      </c>
      <c r="H656" s="5">
        <f>G656-F656</f>
        <v/>
      </c>
      <c r="I656" s="6">
        <f>H656/F656</f>
        <v/>
      </c>
      <c r="J656" s="3" t="inlineStr">
        <is>
          <t>Ricardo Mendes</t>
        </is>
      </c>
      <c r="K656" s="7" t="inlineStr">
        <is>
          <t>A02</t>
        </is>
      </c>
      <c r="L656" s="7">
        <f>IF(H656=0, "Correto", "Divergente")</f>
        <v/>
      </c>
    </row>
    <row r="657">
      <c r="A657" s="8" t="n">
        <v>656</v>
      </c>
      <c r="B657" s="8" t="n">
        <v>183</v>
      </c>
      <c r="C657" s="9" t="inlineStr">
        <is>
          <t>Monitor 27" Curvo 144Hz (Modelo 4)</t>
        </is>
      </c>
      <c r="D657" s="9" t="inlineStr">
        <is>
          <t>Monitores</t>
        </is>
      </c>
      <c r="E657" s="10" t="inlineStr">
        <is>
          <t>2025-03-13</t>
        </is>
      </c>
      <c r="F657" s="11" t="n">
        <v>1467</v>
      </c>
      <c r="G657" s="11" t="n">
        <v>1467</v>
      </c>
      <c r="H657" s="11">
        <f>G657-F657</f>
        <v/>
      </c>
      <c r="I657" s="12">
        <f>H657/F657</f>
        <v/>
      </c>
      <c r="J657" s="9" t="inlineStr">
        <is>
          <t>Gustavo Silveira</t>
        </is>
      </c>
      <c r="K657" s="13" t="inlineStr">
        <is>
          <t>B03</t>
        </is>
      </c>
      <c r="L657" s="13">
        <f>IF(H657=0, "Correto", "Divergente")</f>
        <v/>
      </c>
    </row>
    <row r="658">
      <c r="A658" s="2" t="n">
        <v>657</v>
      </c>
      <c r="B658" s="2" t="n">
        <v>164</v>
      </c>
      <c r="C658" s="3" t="inlineStr">
        <is>
          <t>Multifuncional Tanque de Tinta (Modelo 15)</t>
        </is>
      </c>
      <c r="D658" s="3" t="inlineStr">
        <is>
          <t>Impressão</t>
        </is>
      </c>
      <c r="E658" s="4" t="inlineStr">
        <is>
          <t>2025-05-22</t>
        </is>
      </c>
      <c r="F658" s="5" t="n">
        <v>3181</v>
      </c>
      <c r="G658" s="5" t="n">
        <v>3181</v>
      </c>
      <c r="H658" s="5">
        <f>G658-F658</f>
        <v/>
      </c>
      <c r="I658" s="6">
        <f>H658/F658</f>
        <v/>
      </c>
      <c r="J658" s="3" t="inlineStr">
        <is>
          <t>Carlos Eduardo Rocha</t>
        </is>
      </c>
      <c r="K658" s="7" t="inlineStr">
        <is>
          <t>B02</t>
        </is>
      </c>
      <c r="L658" s="7">
        <f>IF(H658=0, "Correto", "Divergente")</f>
        <v/>
      </c>
    </row>
    <row r="659">
      <c r="A659" s="8" t="n">
        <v>658</v>
      </c>
      <c r="B659" s="8" t="n">
        <v>136</v>
      </c>
      <c r="C659" s="9" t="inlineStr">
        <is>
          <t>HD Externo Portátil 2TB (Modelo 2)</t>
        </is>
      </c>
      <c r="D659" s="9" t="inlineStr">
        <is>
          <t>Armazenamento</t>
        </is>
      </c>
      <c r="E659" s="10" t="inlineStr">
        <is>
          <t>2026-11-27</t>
        </is>
      </c>
      <c r="F659" s="11" t="n">
        <v>4643</v>
      </c>
      <c r="G659" s="11" t="n">
        <v>4643</v>
      </c>
      <c r="H659" s="11">
        <f>G659-F659</f>
        <v/>
      </c>
      <c r="I659" s="12">
        <f>H659/F659</f>
        <v/>
      </c>
      <c r="J659" s="9" t="inlineStr">
        <is>
          <t>Mariana Alcantara</t>
        </is>
      </c>
      <c r="K659" s="13" t="inlineStr">
        <is>
          <t>C02</t>
        </is>
      </c>
      <c r="L659" s="13">
        <f>IF(H659=0, "Correto", "Divergente")</f>
        <v/>
      </c>
    </row>
    <row r="660">
      <c r="A660" s="2" t="n">
        <v>659</v>
      </c>
      <c r="B660" s="2" t="n">
        <v>142</v>
      </c>
      <c r="C660" s="3" t="inlineStr">
        <is>
          <t>Teclado Sem Fio Ergológico (Modelo 8)</t>
        </is>
      </c>
      <c r="D660" s="3" t="inlineStr">
        <is>
          <t>Periféricos</t>
        </is>
      </c>
      <c r="E660" s="4" t="inlineStr">
        <is>
          <t>2025-06-24</t>
        </is>
      </c>
      <c r="F660" s="5" t="n">
        <v>313</v>
      </c>
      <c r="G660" s="5" t="n">
        <v>306</v>
      </c>
      <c r="H660" s="5">
        <f>G660-F660</f>
        <v/>
      </c>
      <c r="I660" s="6">
        <f>H660/F660</f>
        <v/>
      </c>
      <c r="J660" s="3" t="inlineStr">
        <is>
          <t>Mariana Alcantara</t>
        </is>
      </c>
      <c r="K660" s="7" t="inlineStr">
        <is>
          <t>Depósito Externo</t>
        </is>
      </c>
      <c r="L660" s="7">
        <f>IF(H660=0, "Correto", "Divergente")</f>
        <v/>
      </c>
    </row>
    <row r="661">
      <c r="A661" s="8" t="n">
        <v>660</v>
      </c>
      <c r="B661" s="8" t="n">
        <v>73</v>
      </c>
      <c r="C661" s="9" t="inlineStr">
        <is>
          <t>Monitor LED 21.5" Full HD (Modelo 14)</t>
        </is>
      </c>
      <c r="D661" s="9" t="inlineStr">
        <is>
          <t>Monitores</t>
        </is>
      </c>
      <c r="E661" s="10" t="inlineStr">
        <is>
          <t>2026-02-16</t>
        </is>
      </c>
      <c r="F661" s="11" t="n">
        <v>426</v>
      </c>
      <c r="G661" s="11" t="n">
        <v>410</v>
      </c>
      <c r="H661" s="11">
        <f>G661-F661</f>
        <v/>
      </c>
      <c r="I661" s="12">
        <f>H661/F661</f>
        <v/>
      </c>
      <c r="J661" s="9" t="inlineStr">
        <is>
          <t>Ricardo Mendes</t>
        </is>
      </c>
      <c r="K661" s="13" t="inlineStr">
        <is>
          <t>A03</t>
        </is>
      </c>
      <c r="L661" s="13">
        <f>IF(H661=0, "Correto", "Divergente")</f>
        <v/>
      </c>
    </row>
    <row r="662">
      <c r="A662" s="2" t="n">
        <v>661</v>
      </c>
      <c r="B662" s="2" t="n">
        <v>107</v>
      </c>
      <c r="C662" s="3" t="inlineStr">
        <is>
          <t>Capa Protetora para Tablet (Modelo 3)</t>
        </is>
      </c>
      <c r="D662" s="3" t="inlineStr">
        <is>
          <t>Smartphones</t>
        </is>
      </c>
      <c r="E662" s="4" t="inlineStr">
        <is>
          <t>2026-10-24</t>
        </is>
      </c>
      <c r="F662" s="5" t="n">
        <v>694</v>
      </c>
      <c r="G662" s="5" t="n">
        <v>694</v>
      </c>
      <c r="H662" s="5">
        <f>G662-F662</f>
        <v/>
      </c>
      <c r="I662" s="6">
        <f>H662/F662</f>
        <v/>
      </c>
      <c r="J662" s="3" t="inlineStr">
        <is>
          <t>Fernanda Vasconcelos</t>
        </is>
      </c>
      <c r="K662" s="7" t="inlineStr">
        <is>
          <t>B03</t>
        </is>
      </c>
      <c r="L662" s="7">
        <f>IF(H662=0, "Correto", "Divergente")</f>
        <v/>
      </c>
    </row>
    <row r="663">
      <c r="A663" s="8" t="n">
        <v>662</v>
      </c>
      <c r="B663" s="8" t="n">
        <v>62</v>
      </c>
      <c r="C663" s="9" t="inlineStr">
        <is>
          <t>Webcam Full HD 1080p (Modelo 3)</t>
        </is>
      </c>
      <c r="D663" s="9" t="inlineStr">
        <is>
          <t>Periféricos</t>
        </is>
      </c>
      <c r="E663" s="10" t="inlineStr">
        <is>
          <t>2024-08-06</t>
        </is>
      </c>
      <c r="F663" s="11" t="n">
        <v>3145</v>
      </c>
      <c r="G663" s="11" t="n">
        <v>3213</v>
      </c>
      <c r="H663" s="11">
        <f>G663-F663</f>
        <v/>
      </c>
      <c r="I663" s="12">
        <f>H663/F663</f>
        <v/>
      </c>
      <c r="J663" s="9" t="inlineStr">
        <is>
          <t>Beatriz Castilho</t>
        </is>
      </c>
      <c r="K663" s="13" t="inlineStr">
        <is>
          <t>Depósito Externo</t>
        </is>
      </c>
      <c r="L663" s="13">
        <f>IF(H663=0, "Correto", "Divergente")</f>
        <v/>
      </c>
    </row>
    <row r="664">
      <c r="A664" s="2" t="n">
        <v>663</v>
      </c>
      <c r="B664" s="2" t="n">
        <v>31</v>
      </c>
      <c r="C664" s="3" t="inlineStr">
        <is>
          <t>Chromebook 11.6" (Modelo 2)</t>
        </is>
      </c>
      <c r="D664" s="3" t="inlineStr">
        <is>
          <t>Informática</t>
        </is>
      </c>
      <c r="E664" s="4" t="inlineStr">
        <is>
          <t>2024-09-03</t>
        </is>
      </c>
      <c r="F664" s="5" t="n">
        <v>2767</v>
      </c>
      <c r="G664" s="5" t="n">
        <v>2767</v>
      </c>
      <c r="H664" s="5">
        <f>G664-F664</f>
        <v/>
      </c>
      <c r="I664" s="6">
        <f>H664/F664</f>
        <v/>
      </c>
      <c r="J664" s="3" t="inlineStr">
        <is>
          <t>Gustavo Silveira</t>
        </is>
      </c>
      <c r="K664" s="7" t="inlineStr">
        <is>
          <t>A01</t>
        </is>
      </c>
      <c r="L664" s="7">
        <f>IF(H664=0, "Correto", "Divergente")</f>
        <v/>
      </c>
    </row>
    <row r="665">
      <c r="A665" s="8" t="n">
        <v>664</v>
      </c>
      <c r="B665" s="8" t="n">
        <v>44</v>
      </c>
      <c r="C665" s="9" t="inlineStr">
        <is>
          <t>Multifuncional Tanque de Tinta (Modelo 15)</t>
        </is>
      </c>
      <c r="D665" s="9" t="inlineStr">
        <is>
          <t>Impressão</t>
        </is>
      </c>
      <c r="E665" s="10" t="inlineStr">
        <is>
          <t>2024-06-24</t>
        </is>
      </c>
      <c r="F665" s="11" t="n">
        <v>1796</v>
      </c>
      <c r="G665" s="11" t="n">
        <v>1796</v>
      </c>
      <c r="H665" s="11">
        <f>G665-F665</f>
        <v/>
      </c>
      <c r="I665" s="12">
        <f>H665/F665</f>
        <v/>
      </c>
      <c r="J665" s="9" t="inlineStr">
        <is>
          <t>Mariana Alcantara</t>
        </is>
      </c>
      <c r="K665" s="13" t="inlineStr">
        <is>
          <t>A02</t>
        </is>
      </c>
      <c r="L665" s="13">
        <f>IF(H665=0, "Correto", "Divergente")</f>
        <v/>
      </c>
    </row>
    <row r="666">
      <c r="A666" s="2" t="n">
        <v>665</v>
      </c>
      <c r="B666" s="2" t="n">
        <v>67</v>
      </c>
      <c r="C666" s="3" t="inlineStr">
        <is>
          <t>Smartphone Empresarial 128GB (Modelo 8)</t>
        </is>
      </c>
      <c r="D666" s="3" t="inlineStr">
        <is>
          <t>Smartphones</t>
        </is>
      </c>
      <c r="E666" s="4" t="inlineStr">
        <is>
          <t>2025-12-21</t>
        </is>
      </c>
      <c r="F666" s="5" t="n">
        <v>2117</v>
      </c>
      <c r="G666" s="5" t="n">
        <v>2117</v>
      </c>
      <c r="H666" s="5">
        <f>G666-F666</f>
        <v/>
      </c>
      <c r="I666" s="6">
        <f>H666/F666</f>
        <v/>
      </c>
      <c r="J666" s="3" t="inlineStr">
        <is>
          <t>Ricardo Mendes</t>
        </is>
      </c>
      <c r="K666" s="7" t="inlineStr">
        <is>
          <t>B03</t>
        </is>
      </c>
      <c r="L666" s="7">
        <f>IF(H666=0, "Correto", "Divergente")</f>
        <v/>
      </c>
    </row>
    <row r="667">
      <c r="A667" s="8" t="n">
        <v>666</v>
      </c>
      <c r="B667" s="8" t="n">
        <v>186</v>
      </c>
      <c r="C667" s="9" t="inlineStr">
        <is>
          <t>Cartão de Memória MicroSD 128GB (Modelo 7)</t>
        </is>
      </c>
      <c r="D667" s="9" t="inlineStr">
        <is>
          <t>Armazenamento</t>
        </is>
      </c>
      <c r="E667" s="10" t="inlineStr">
        <is>
          <t>2026-09-19</t>
        </is>
      </c>
      <c r="F667" s="11" t="n">
        <v>814</v>
      </c>
      <c r="G667" s="11" t="n">
        <v>814</v>
      </c>
      <c r="H667" s="11">
        <f>G667-F667</f>
        <v/>
      </c>
      <c r="I667" s="12">
        <f>H667/F667</f>
        <v/>
      </c>
      <c r="J667" s="9" t="inlineStr">
        <is>
          <t>Gustavo Silveira</t>
        </is>
      </c>
      <c r="K667" s="13" t="inlineStr">
        <is>
          <t>B02</t>
        </is>
      </c>
      <c r="L667" s="13">
        <f>IF(H667=0, "Correto", "Divergente")</f>
        <v/>
      </c>
    </row>
    <row r="668">
      <c r="A668" s="2" t="n">
        <v>667</v>
      </c>
      <c r="B668" s="2" t="n">
        <v>115</v>
      </c>
      <c r="C668" s="3" t="inlineStr">
        <is>
          <t>Headset USB com Cancelamento de Ruído (Modelo 11)</t>
        </is>
      </c>
      <c r="D668" s="3" t="inlineStr">
        <is>
          <t>Áudio</t>
        </is>
      </c>
      <c r="E668" s="4" t="inlineStr">
        <is>
          <t>2025-02-26</t>
        </is>
      </c>
      <c r="F668" s="5" t="n">
        <v>1809</v>
      </c>
      <c r="G668" s="5" t="n">
        <v>1809</v>
      </c>
      <c r="H668" s="5">
        <f>G668-F668</f>
        <v/>
      </c>
      <c r="I668" s="6">
        <f>H668/F668</f>
        <v/>
      </c>
      <c r="J668" s="3" t="inlineStr">
        <is>
          <t>Marcelo Fontes</t>
        </is>
      </c>
      <c r="K668" s="7" t="inlineStr">
        <is>
          <t>C01</t>
        </is>
      </c>
      <c r="L668" s="7">
        <f>IF(H668=0, "Correto", "Divergente")</f>
        <v/>
      </c>
    </row>
    <row r="669">
      <c r="A669" s="8" t="n">
        <v>668</v>
      </c>
      <c r="B669" s="8" t="n">
        <v>157</v>
      </c>
      <c r="C669" s="9" t="inlineStr">
        <is>
          <t>Smartphone Empresarial 128GB (Modelo 8)</t>
        </is>
      </c>
      <c r="D669" s="9" t="inlineStr">
        <is>
          <t>Smartphones</t>
        </is>
      </c>
      <c r="E669" s="10" t="inlineStr">
        <is>
          <t>2025-06-02</t>
        </is>
      </c>
      <c r="F669" s="11" t="n">
        <v>1665</v>
      </c>
      <c r="G669" s="11" t="n">
        <v>1665</v>
      </c>
      <c r="H669" s="11">
        <f>G669-F669</f>
        <v/>
      </c>
      <c r="I669" s="12">
        <f>H669/F669</f>
        <v/>
      </c>
      <c r="J669" s="9" t="inlineStr">
        <is>
          <t>Marcelo Fontes</t>
        </is>
      </c>
      <c r="K669" s="13" t="inlineStr">
        <is>
          <t>B02</t>
        </is>
      </c>
      <c r="L669" s="13">
        <f>IF(H669=0, "Correto", "Divergente")</f>
        <v/>
      </c>
    </row>
    <row r="670">
      <c r="A670" s="2" t="n">
        <v>669</v>
      </c>
      <c r="B670" s="2" t="n">
        <v>67</v>
      </c>
      <c r="C670" s="3" t="inlineStr">
        <is>
          <t>Smartphone Empresarial 128GB (Modelo 8)</t>
        </is>
      </c>
      <c r="D670" s="3" t="inlineStr">
        <is>
          <t>Smartphones</t>
        </is>
      </c>
      <c r="E670" s="4" t="inlineStr">
        <is>
          <t>2025-06-03</t>
        </is>
      </c>
      <c r="F670" s="5" t="n">
        <v>3113</v>
      </c>
      <c r="G670" s="5" t="n">
        <v>3113</v>
      </c>
      <c r="H670" s="5">
        <f>G670-F670</f>
        <v/>
      </c>
      <c r="I670" s="6">
        <f>H670/F670</f>
        <v/>
      </c>
      <c r="J670" s="3" t="inlineStr">
        <is>
          <t>Fernanda Vasconcelos</t>
        </is>
      </c>
      <c r="K670" s="7" t="inlineStr">
        <is>
          <t>C02</t>
        </is>
      </c>
      <c r="L670" s="7">
        <f>IF(H670=0, "Correto", "Divergente")</f>
        <v/>
      </c>
    </row>
    <row r="671">
      <c r="A671" s="8" t="n">
        <v>670</v>
      </c>
      <c r="B671" s="8" t="n">
        <v>2</v>
      </c>
      <c r="C671" s="9" t="inlineStr">
        <is>
          <t>Teclado Sem Fio Ergológico (Modelo 3)</t>
        </is>
      </c>
      <c r="D671" s="9" t="inlineStr">
        <is>
          <t>Periféricos</t>
        </is>
      </c>
      <c r="E671" s="10" t="inlineStr">
        <is>
          <t>2025-11-10</t>
        </is>
      </c>
      <c r="F671" s="11" t="n">
        <v>89</v>
      </c>
      <c r="G671" s="11" t="n">
        <v>89</v>
      </c>
      <c r="H671" s="11">
        <f>G671-F671</f>
        <v/>
      </c>
      <c r="I671" s="12">
        <f>H671/F671</f>
        <v/>
      </c>
      <c r="J671" s="9" t="inlineStr">
        <is>
          <t>Gustavo Silveira</t>
        </is>
      </c>
      <c r="K671" s="13" t="inlineStr">
        <is>
          <t>A03</t>
        </is>
      </c>
      <c r="L671" s="13">
        <f>IF(H671=0, "Correto", "Divergente")</f>
        <v/>
      </c>
    </row>
    <row r="672">
      <c r="A672" s="2" t="n">
        <v>671</v>
      </c>
      <c r="B672" s="2" t="n">
        <v>1</v>
      </c>
      <c r="C672" s="3" t="inlineStr">
        <is>
          <t>Notebook Corporate i5 16GB (Modelo 2)</t>
        </is>
      </c>
      <c r="D672" s="3" t="inlineStr">
        <is>
          <t>Informática</t>
        </is>
      </c>
      <c r="E672" s="4" t="inlineStr">
        <is>
          <t>2024-07-12</t>
        </is>
      </c>
      <c r="F672" s="5" t="n">
        <v>1682</v>
      </c>
      <c r="G672" s="5" t="n">
        <v>1682</v>
      </c>
      <c r="H672" s="5">
        <f>G672-F672</f>
        <v/>
      </c>
      <c r="I672" s="6">
        <f>H672/F672</f>
        <v/>
      </c>
      <c r="J672" s="3" t="inlineStr">
        <is>
          <t>Mariana Alcantara</t>
        </is>
      </c>
      <c r="K672" s="7" t="inlineStr">
        <is>
          <t>B02</t>
        </is>
      </c>
      <c r="L672" s="7">
        <f>IF(H672=0, "Correto", "Divergente")</f>
        <v/>
      </c>
    </row>
    <row r="673">
      <c r="A673" s="8" t="n">
        <v>672</v>
      </c>
      <c r="B673" s="8" t="n">
        <v>26</v>
      </c>
      <c r="C673" s="9" t="inlineStr">
        <is>
          <t>SSD NVMe 1TB M.2 (Modelo 12)</t>
        </is>
      </c>
      <c r="D673" s="9" t="inlineStr">
        <is>
          <t>Armazenamento</t>
        </is>
      </c>
      <c r="E673" s="10" t="inlineStr">
        <is>
          <t>2024-09-26</t>
        </is>
      </c>
      <c r="F673" s="11" t="n">
        <v>1975</v>
      </c>
      <c r="G673" s="11" t="n">
        <v>1975</v>
      </c>
      <c r="H673" s="11">
        <f>G673-F673</f>
        <v/>
      </c>
      <c r="I673" s="12">
        <f>H673/F673</f>
        <v/>
      </c>
      <c r="J673" s="9" t="inlineStr">
        <is>
          <t>Beatriz Castilho</t>
        </is>
      </c>
      <c r="K673" s="13" t="inlineStr">
        <is>
          <t>A01</t>
        </is>
      </c>
      <c r="L673" s="13">
        <f>IF(H673=0, "Correto", "Divergente")</f>
        <v/>
      </c>
    </row>
    <row r="674">
      <c r="A674" s="2" t="n">
        <v>673</v>
      </c>
      <c r="B674" s="2" t="n">
        <v>19</v>
      </c>
      <c r="C674" s="3" t="inlineStr">
        <is>
          <t>Hub USB-C 7 em 1 (Modelo 5)</t>
        </is>
      </c>
      <c r="D674" s="3" t="inlineStr">
        <is>
          <t>Acessórios</t>
        </is>
      </c>
      <c r="E674" s="4" t="inlineStr">
        <is>
          <t>2026-08-18</t>
        </is>
      </c>
      <c r="F674" s="5" t="n">
        <v>4250</v>
      </c>
      <c r="G674" s="5" t="n">
        <v>4250</v>
      </c>
      <c r="H674" s="5">
        <f>G674-F674</f>
        <v/>
      </c>
      <c r="I674" s="6">
        <f>H674/F674</f>
        <v/>
      </c>
      <c r="J674" s="3" t="inlineStr">
        <is>
          <t>Roberto Fernandes</t>
        </is>
      </c>
      <c r="K674" s="7" t="inlineStr">
        <is>
          <t>C01</t>
        </is>
      </c>
      <c r="L674" s="7">
        <f>IF(H674=0, "Correto", "Divergente")</f>
        <v/>
      </c>
    </row>
    <row r="675">
      <c r="A675" s="8" t="n">
        <v>674</v>
      </c>
      <c r="B675" s="8" t="n">
        <v>165</v>
      </c>
      <c r="C675" s="9" t="inlineStr">
        <is>
          <t>Caixa de Som USB 10W (Modelo 1)</t>
        </is>
      </c>
      <c r="D675" s="9" t="inlineStr">
        <is>
          <t>Áudio</t>
        </is>
      </c>
      <c r="E675" s="10" t="inlineStr">
        <is>
          <t>2025-05-26</t>
        </is>
      </c>
      <c r="F675" s="11" t="n">
        <v>1585</v>
      </c>
      <c r="G675" s="11" t="n">
        <v>1750</v>
      </c>
      <c r="H675" s="11">
        <f>G675-F675</f>
        <v/>
      </c>
      <c r="I675" s="12">
        <f>H675/F675</f>
        <v/>
      </c>
      <c r="J675" s="9" t="inlineStr">
        <is>
          <t>Gustavo Silveira</t>
        </is>
      </c>
      <c r="K675" s="13" t="inlineStr">
        <is>
          <t>C03</t>
        </is>
      </c>
      <c r="L675" s="13">
        <f>IF(H675=0, "Correto", "Divergente")</f>
        <v/>
      </c>
    </row>
    <row r="676">
      <c r="A676" s="2" t="n">
        <v>675</v>
      </c>
      <c r="B676" s="2" t="n">
        <v>117</v>
      </c>
      <c r="C676" s="3" t="inlineStr">
        <is>
          <t>Tablet 10.1" Wi-Fi 64GB (Modelo 13)</t>
        </is>
      </c>
      <c r="D676" s="3" t="inlineStr">
        <is>
          <t>Smartphones</t>
        </is>
      </c>
      <c r="E676" s="4" t="inlineStr">
        <is>
          <t>2026-03-16</t>
        </is>
      </c>
      <c r="F676" s="5" t="n">
        <v>2548</v>
      </c>
      <c r="G676" s="5" t="n">
        <v>2620</v>
      </c>
      <c r="H676" s="5">
        <f>G676-F676</f>
        <v/>
      </c>
      <c r="I676" s="6">
        <f>H676/F676</f>
        <v/>
      </c>
      <c r="J676" s="3" t="inlineStr">
        <is>
          <t>Carlos Eduardo Rocha</t>
        </is>
      </c>
      <c r="K676" s="7" t="inlineStr">
        <is>
          <t>C02</t>
        </is>
      </c>
      <c r="L676" s="7">
        <f>IF(H676=0, "Correto", "Divergente")</f>
        <v/>
      </c>
    </row>
    <row r="677">
      <c r="A677" s="8" t="n">
        <v>676</v>
      </c>
      <c r="B677" s="8" t="n">
        <v>103</v>
      </c>
      <c r="C677" s="9" t="inlineStr">
        <is>
          <t>Monitor LED 21.5" Full HD (Modelo 14)</t>
        </is>
      </c>
      <c r="D677" s="9" t="inlineStr">
        <is>
          <t>Monitores</t>
        </is>
      </c>
      <c r="E677" s="10" t="inlineStr">
        <is>
          <t>2024-06-03</t>
        </is>
      </c>
      <c r="F677" s="11" t="n">
        <v>2023</v>
      </c>
      <c r="G677" s="11" t="n">
        <v>1962</v>
      </c>
      <c r="H677" s="11">
        <f>G677-F677</f>
        <v/>
      </c>
      <c r="I677" s="12">
        <f>H677/F677</f>
        <v/>
      </c>
      <c r="J677" s="9" t="inlineStr">
        <is>
          <t>Carlos Eduardo Rocha</t>
        </is>
      </c>
      <c r="K677" s="13" t="inlineStr">
        <is>
          <t>C02</t>
        </is>
      </c>
      <c r="L677" s="13">
        <f>IF(H677=0, "Correto", "Divergente")</f>
        <v/>
      </c>
    </row>
    <row r="678">
      <c r="A678" s="2" t="n">
        <v>677</v>
      </c>
      <c r="B678" s="2" t="n">
        <v>113</v>
      </c>
      <c r="C678" s="3" t="inlineStr">
        <is>
          <t>Monitor 4K 32" Profissional (Modelo 9)</t>
        </is>
      </c>
      <c r="D678" s="3" t="inlineStr">
        <is>
          <t>Monitores</t>
        </is>
      </c>
      <c r="E678" s="4" t="inlineStr">
        <is>
          <t>2025-06-21</t>
        </is>
      </c>
      <c r="F678" s="5" t="n">
        <v>1014</v>
      </c>
      <c r="G678" s="5" t="n">
        <v>1014</v>
      </c>
      <c r="H678" s="5">
        <f>G678-F678</f>
        <v/>
      </c>
      <c r="I678" s="6">
        <f>H678/F678</f>
        <v/>
      </c>
      <c r="J678" s="3" t="inlineStr">
        <is>
          <t>Beatriz Castilho</t>
        </is>
      </c>
      <c r="K678" s="7" t="inlineStr">
        <is>
          <t>B03</t>
        </is>
      </c>
      <c r="L678" s="7">
        <f>IF(H678=0, "Correto", "Divergente")</f>
        <v/>
      </c>
    </row>
    <row r="679">
      <c r="A679" s="8" t="n">
        <v>678</v>
      </c>
      <c r="B679" s="8" t="n">
        <v>128</v>
      </c>
      <c r="C679" s="9" t="inlineStr">
        <is>
          <t>Switch Gigabit 16 Portas (Modelo 9)</t>
        </is>
      </c>
      <c r="D679" s="9" t="inlineStr">
        <is>
          <t>Redes</t>
        </is>
      </c>
      <c r="E679" s="10" t="inlineStr">
        <is>
          <t>2024-09-22</t>
        </is>
      </c>
      <c r="F679" s="11" t="n">
        <v>4158</v>
      </c>
      <c r="G679" s="11" t="n">
        <v>4158</v>
      </c>
      <c r="H679" s="11">
        <f>G679-F679</f>
        <v/>
      </c>
      <c r="I679" s="12">
        <f>H679/F679</f>
        <v/>
      </c>
      <c r="J679" s="9" t="inlineStr">
        <is>
          <t>Ricardo Mendes</t>
        </is>
      </c>
      <c r="K679" s="13" t="inlineStr">
        <is>
          <t>C02</t>
        </is>
      </c>
      <c r="L679" s="13">
        <f>IF(H679=0, "Correto", "Divergente")</f>
        <v/>
      </c>
    </row>
    <row r="680">
      <c r="A680" s="2" t="n">
        <v>679</v>
      </c>
      <c r="B680" s="2" t="n">
        <v>101</v>
      </c>
      <c r="C680" s="3" t="inlineStr">
        <is>
          <t>Mini PC Ryzen 5 (Modelo 12)</t>
        </is>
      </c>
      <c r="D680" s="3" t="inlineStr">
        <is>
          <t>Informática</t>
        </is>
      </c>
      <c r="E680" s="4" t="inlineStr">
        <is>
          <t>2026-06-13</t>
        </is>
      </c>
      <c r="F680" s="5" t="n">
        <v>4072</v>
      </c>
      <c r="G680" s="5" t="n">
        <v>4072</v>
      </c>
      <c r="H680" s="5">
        <f>G680-F680</f>
        <v/>
      </c>
      <c r="I680" s="6">
        <f>H680/F680</f>
        <v/>
      </c>
      <c r="J680" s="3" t="inlineStr">
        <is>
          <t>Fernanda Vasconcelos</t>
        </is>
      </c>
      <c r="K680" s="7" t="inlineStr">
        <is>
          <t>B02</t>
        </is>
      </c>
      <c r="L680" s="7">
        <f>IF(H680=0, "Correto", "Divergente")</f>
        <v/>
      </c>
    </row>
    <row r="681">
      <c r="A681" s="8" t="n">
        <v>680</v>
      </c>
      <c r="B681" s="8" t="n">
        <v>68</v>
      </c>
      <c r="C681" s="9" t="inlineStr">
        <is>
          <t>Switch Gigabit 16 Portas (Modelo 9)</t>
        </is>
      </c>
      <c r="D681" s="9" t="inlineStr">
        <is>
          <t>Redes</t>
        </is>
      </c>
      <c r="E681" s="10" t="inlineStr">
        <is>
          <t>2026-11-02</t>
        </is>
      </c>
      <c r="F681" s="11" t="n">
        <v>4585</v>
      </c>
      <c r="G681" s="11" t="n">
        <v>4585</v>
      </c>
      <c r="H681" s="11">
        <f>G681-F681</f>
        <v/>
      </c>
      <c r="I681" s="12">
        <f>H681/F681</f>
        <v/>
      </c>
      <c r="J681" s="9" t="inlineStr">
        <is>
          <t>Roberto Fernandes</t>
        </is>
      </c>
      <c r="K681" s="13" t="inlineStr">
        <is>
          <t>B01</t>
        </is>
      </c>
      <c r="L681" s="13">
        <f>IF(H681=0, "Correto", "Divergente")</f>
        <v/>
      </c>
    </row>
    <row r="682">
      <c r="A682" s="2" t="n">
        <v>681</v>
      </c>
      <c r="B682" s="2" t="n">
        <v>146</v>
      </c>
      <c r="C682" s="3" t="inlineStr">
        <is>
          <t>SSD NVMe 1TB M.2 (Modelo 12)</t>
        </is>
      </c>
      <c r="D682" s="3" t="inlineStr">
        <is>
          <t>Armazenamento</t>
        </is>
      </c>
      <c r="E682" s="4" t="inlineStr">
        <is>
          <t>2025-03-26</t>
        </is>
      </c>
      <c r="F682" s="5" t="n">
        <v>2860</v>
      </c>
      <c r="G682" s="5" t="n">
        <v>2755</v>
      </c>
      <c r="H682" s="5">
        <f>G682-F682</f>
        <v/>
      </c>
      <c r="I682" s="6">
        <f>H682/F682</f>
        <v/>
      </c>
      <c r="J682" s="3" t="inlineStr">
        <is>
          <t>Marcelo Fontes</t>
        </is>
      </c>
      <c r="K682" s="7" t="inlineStr">
        <is>
          <t>C01</t>
        </is>
      </c>
      <c r="L682" s="7">
        <f>IF(H682=0, "Correto", "Divergente")</f>
        <v/>
      </c>
    </row>
    <row r="683">
      <c r="A683" s="8" t="n">
        <v>682</v>
      </c>
      <c r="B683" s="8" t="n">
        <v>60</v>
      </c>
      <c r="C683" s="9" t="inlineStr">
        <is>
          <t>Cooler para Processador 120mm (Modelo 1)</t>
        </is>
      </c>
      <c r="D683" s="9" t="inlineStr">
        <is>
          <t>Componentes</t>
        </is>
      </c>
      <c r="E683" s="10" t="inlineStr">
        <is>
          <t>2026-02-06</t>
        </is>
      </c>
      <c r="F683" s="11" t="n">
        <v>2488</v>
      </c>
      <c r="G683" s="11" t="n">
        <v>2488</v>
      </c>
      <c r="H683" s="11">
        <f>G683-F683</f>
        <v/>
      </c>
      <c r="I683" s="12">
        <f>H683/F683</f>
        <v/>
      </c>
      <c r="J683" s="9" t="inlineStr">
        <is>
          <t>Ricardo Mendes</t>
        </is>
      </c>
      <c r="K683" s="13" t="inlineStr">
        <is>
          <t>B02</t>
        </is>
      </c>
      <c r="L683" s="13">
        <f>IF(H683=0, "Correto", "Divergente")</f>
        <v/>
      </c>
    </row>
    <row r="684">
      <c r="A684" s="2" t="n">
        <v>683</v>
      </c>
      <c r="B684" s="2" t="n">
        <v>51</v>
      </c>
      <c r="C684" s="3" t="inlineStr">
        <is>
          <t>Desktop Core i5 8GB (Modelo 7)</t>
        </is>
      </c>
      <c r="D684" s="3" t="inlineStr">
        <is>
          <t>Informática</t>
        </is>
      </c>
      <c r="E684" s="4" t="inlineStr">
        <is>
          <t>2025-02-19</t>
        </is>
      </c>
      <c r="F684" s="5" t="n">
        <v>1428</v>
      </c>
      <c r="G684" s="5" t="n">
        <v>1428</v>
      </c>
      <c r="H684" s="5">
        <f>G684-F684</f>
        <v/>
      </c>
      <c r="I684" s="6">
        <f>H684/F684</f>
        <v/>
      </c>
      <c r="J684" s="3" t="inlineStr">
        <is>
          <t>Fernanda Vasconcelos</t>
        </is>
      </c>
      <c r="K684" s="7" t="inlineStr">
        <is>
          <t>A01</t>
        </is>
      </c>
      <c r="L684" s="7">
        <f>IF(H684=0, "Correto", "Divergente")</f>
        <v/>
      </c>
    </row>
    <row r="685">
      <c r="A685" s="8" t="n">
        <v>684</v>
      </c>
      <c r="B685" s="8" t="n">
        <v>63</v>
      </c>
      <c r="C685" s="9" t="inlineStr">
        <is>
          <t>Monitor 27" Curvo 144Hz (Modelo 4)</t>
        </is>
      </c>
      <c r="D685" s="9" t="inlineStr">
        <is>
          <t>Monitores</t>
        </is>
      </c>
      <c r="E685" s="10" t="inlineStr">
        <is>
          <t>2024-04-15</t>
        </is>
      </c>
      <c r="F685" s="11" t="n">
        <v>2144</v>
      </c>
      <c r="G685" s="11" t="n">
        <v>2144</v>
      </c>
      <c r="H685" s="11">
        <f>G685-F685</f>
        <v/>
      </c>
      <c r="I685" s="12">
        <f>H685/F685</f>
        <v/>
      </c>
      <c r="J685" s="9" t="inlineStr">
        <is>
          <t>Ricardo Mendes</t>
        </is>
      </c>
      <c r="K685" s="13" t="inlineStr">
        <is>
          <t>A02</t>
        </is>
      </c>
      <c r="L685" s="13">
        <f>IF(H685=0, "Correto", "Divergente")</f>
        <v/>
      </c>
    </row>
    <row r="686">
      <c r="A686" s="2" t="n">
        <v>685</v>
      </c>
      <c r="B686" s="2" t="n">
        <v>197</v>
      </c>
      <c r="C686" s="3" t="inlineStr">
        <is>
          <t>Capa Protetora para Tablet (Modelo 3)</t>
        </is>
      </c>
      <c r="D686" s="3" t="inlineStr">
        <is>
          <t>Smartphones</t>
        </is>
      </c>
      <c r="E686" s="4" t="inlineStr">
        <is>
          <t>2026-10-11</t>
        </is>
      </c>
      <c r="F686" s="5" t="n">
        <v>1987</v>
      </c>
      <c r="G686" s="5" t="n">
        <v>2051</v>
      </c>
      <c r="H686" s="5">
        <f>G686-F686</f>
        <v/>
      </c>
      <c r="I686" s="6">
        <f>H686/F686</f>
        <v/>
      </c>
      <c r="J686" s="3" t="inlineStr">
        <is>
          <t>Patricia Prado</t>
        </is>
      </c>
      <c r="K686" s="7" t="inlineStr">
        <is>
          <t>A03</t>
        </is>
      </c>
      <c r="L686" s="7">
        <f>IF(H686=0, "Correto", "Divergente")</f>
        <v/>
      </c>
    </row>
    <row r="687">
      <c r="A687" s="8" t="n">
        <v>686</v>
      </c>
      <c r="B687" s="8" t="n">
        <v>4</v>
      </c>
      <c r="C687" s="9" t="inlineStr">
        <is>
          <t>Toner HP Preto Original (Modelo 5)</t>
        </is>
      </c>
      <c r="D687" s="9" t="inlineStr">
        <is>
          <t>Impressão</t>
        </is>
      </c>
      <c r="E687" s="10" t="inlineStr">
        <is>
          <t>2026-08-25</t>
        </is>
      </c>
      <c r="F687" s="11" t="n">
        <v>1012</v>
      </c>
      <c r="G687" s="11" t="n">
        <v>1012</v>
      </c>
      <c r="H687" s="11">
        <f>G687-F687</f>
        <v/>
      </c>
      <c r="I687" s="12">
        <f>H687/F687</f>
        <v/>
      </c>
      <c r="J687" s="9" t="inlineStr">
        <is>
          <t>Fernanda Vasconcelos</t>
        </is>
      </c>
      <c r="K687" s="13" t="inlineStr">
        <is>
          <t>C01</t>
        </is>
      </c>
      <c r="L687" s="13">
        <f>IF(H687=0, "Correto", "Divergente")</f>
        <v/>
      </c>
    </row>
    <row r="688">
      <c r="A688" s="2" t="n">
        <v>687</v>
      </c>
      <c r="B688" s="2" t="n">
        <v>44</v>
      </c>
      <c r="C688" s="3" t="inlineStr">
        <is>
          <t>Multifuncional Tanque de Tinta (Modelo 15)</t>
        </is>
      </c>
      <c r="D688" s="3" t="inlineStr">
        <is>
          <t>Impressão</t>
        </is>
      </c>
      <c r="E688" s="4" t="inlineStr">
        <is>
          <t>2026-09-27</t>
        </is>
      </c>
      <c r="F688" s="5" t="n">
        <v>16</v>
      </c>
      <c r="G688" s="5" t="n">
        <v>15</v>
      </c>
      <c r="H688" s="5">
        <f>G688-F688</f>
        <v/>
      </c>
      <c r="I688" s="6">
        <f>H688/F688</f>
        <v/>
      </c>
      <c r="J688" s="3" t="inlineStr">
        <is>
          <t>Ricardo Mendes</t>
        </is>
      </c>
      <c r="K688" s="7" t="inlineStr">
        <is>
          <t>C01</t>
        </is>
      </c>
      <c r="L688" s="7">
        <f>IF(H688=0, "Correto", "Divergente")</f>
        <v/>
      </c>
    </row>
    <row r="689">
      <c r="A689" s="8" t="n">
        <v>688</v>
      </c>
      <c r="B689" s="8" t="n">
        <v>196</v>
      </c>
      <c r="C689" s="9" t="inlineStr">
        <is>
          <t>HD Externo Portátil 2TB (Modelo 2)</t>
        </is>
      </c>
      <c r="D689" s="9" t="inlineStr">
        <is>
          <t>Armazenamento</t>
        </is>
      </c>
      <c r="E689" s="10" t="inlineStr">
        <is>
          <t>2024-05-29</t>
        </is>
      </c>
      <c r="F689" s="11" t="n">
        <v>4321</v>
      </c>
      <c r="G689" s="11" t="n">
        <v>4321</v>
      </c>
      <c r="H689" s="11">
        <f>G689-F689</f>
        <v/>
      </c>
      <c r="I689" s="12">
        <f>H689/F689</f>
        <v/>
      </c>
      <c r="J689" s="9" t="inlineStr">
        <is>
          <t>Camila Azevedo</t>
        </is>
      </c>
      <c r="K689" s="13" t="inlineStr">
        <is>
          <t>B02</t>
        </is>
      </c>
      <c r="L689" s="13">
        <f>IF(H689=0, "Correto", "Divergente")</f>
        <v/>
      </c>
    </row>
    <row r="690">
      <c r="A690" s="2" t="n">
        <v>689</v>
      </c>
      <c r="B690" s="2" t="n">
        <v>22</v>
      </c>
      <c r="C690" s="3" t="inlineStr">
        <is>
          <t>Teclado Mecânico RGB (Modelo 8)</t>
        </is>
      </c>
      <c r="D690" s="3" t="inlineStr">
        <is>
          <t>Periféricos</t>
        </is>
      </c>
      <c r="E690" s="4" t="inlineStr">
        <is>
          <t>2025-10-03</t>
        </is>
      </c>
      <c r="F690" s="5" t="n">
        <v>2861</v>
      </c>
      <c r="G690" s="5" t="n">
        <v>2819</v>
      </c>
      <c r="H690" s="5">
        <f>G690-F690</f>
        <v/>
      </c>
      <c r="I690" s="6">
        <f>H690/F690</f>
        <v/>
      </c>
      <c r="J690" s="3" t="inlineStr">
        <is>
          <t>Gustavo Silveira</t>
        </is>
      </c>
      <c r="K690" s="7" t="inlineStr">
        <is>
          <t>B01</t>
        </is>
      </c>
      <c r="L690" s="7">
        <f>IF(H690=0, "Correto", "Divergente")</f>
        <v/>
      </c>
    </row>
    <row r="691">
      <c r="A691" s="8" t="n">
        <v>690</v>
      </c>
      <c r="B691" s="8" t="n">
        <v>87</v>
      </c>
      <c r="C691" s="9" t="inlineStr">
        <is>
          <t>Tablet 10.1" Wi-Fi 64GB (Modelo 13)</t>
        </is>
      </c>
      <c r="D691" s="9" t="inlineStr">
        <is>
          <t>Smartphones</t>
        </is>
      </c>
      <c r="E691" s="10" t="inlineStr">
        <is>
          <t>2025-09-25</t>
        </is>
      </c>
      <c r="F691" s="11" t="n">
        <v>4829</v>
      </c>
      <c r="G691" s="11" t="n">
        <v>4829</v>
      </c>
      <c r="H691" s="11">
        <f>G691-F691</f>
        <v/>
      </c>
      <c r="I691" s="12">
        <f>H691/F691</f>
        <v/>
      </c>
      <c r="J691" s="9" t="inlineStr">
        <is>
          <t>Ricardo Mendes</t>
        </is>
      </c>
      <c r="K691" s="13" t="inlineStr">
        <is>
          <t>A01</t>
        </is>
      </c>
      <c r="L691" s="13">
        <f>IF(H691=0, "Correto", "Divergente")</f>
        <v/>
      </c>
    </row>
    <row r="692">
      <c r="A692" s="2" t="n">
        <v>691</v>
      </c>
      <c r="B692" s="2" t="n">
        <v>134</v>
      </c>
      <c r="C692" s="3" t="inlineStr">
        <is>
          <t>Multifuncional Tanque de Tinta (Modelo 15)</t>
        </is>
      </c>
      <c r="D692" s="3" t="inlineStr">
        <is>
          <t>Impressão</t>
        </is>
      </c>
      <c r="E692" s="4" t="inlineStr">
        <is>
          <t>2026-12-25</t>
        </is>
      </c>
      <c r="F692" s="5" t="n">
        <v>3320</v>
      </c>
      <c r="G692" s="5" t="n">
        <v>3320</v>
      </c>
      <c r="H692" s="5">
        <f>G692-F692</f>
        <v/>
      </c>
      <c r="I692" s="6">
        <f>H692/F692</f>
        <v/>
      </c>
      <c r="J692" s="3" t="inlineStr">
        <is>
          <t>Mariana Alcantara</t>
        </is>
      </c>
      <c r="K692" s="7" t="inlineStr">
        <is>
          <t>B03</t>
        </is>
      </c>
      <c r="L692" s="7">
        <f>IF(H692=0, "Correto", "Divergente")</f>
        <v/>
      </c>
    </row>
    <row r="693">
      <c r="A693" s="8" t="n">
        <v>692</v>
      </c>
      <c r="B693" s="8" t="n">
        <v>77</v>
      </c>
      <c r="C693" s="9" t="inlineStr">
        <is>
          <t>Capa Protetora para Tablet (Modelo 3)</t>
        </is>
      </c>
      <c r="D693" s="9" t="inlineStr">
        <is>
          <t>Smartphones</t>
        </is>
      </c>
      <c r="E693" s="10" t="inlineStr">
        <is>
          <t>2026-08-22</t>
        </is>
      </c>
      <c r="F693" s="11" t="n">
        <v>3892</v>
      </c>
      <c r="G693" s="11" t="n">
        <v>3892</v>
      </c>
      <c r="H693" s="11">
        <f>G693-F693</f>
        <v/>
      </c>
      <c r="I693" s="12">
        <f>H693/F693</f>
        <v/>
      </c>
      <c r="J693" s="9" t="inlineStr">
        <is>
          <t>Roberto Fernandes</t>
        </is>
      </c>
      <c r="K693" s="13" t="inlineStr">
        <is>
          <t>C02</t>
        </is>
      </c>
      <c r="L693" s="13">
        <f>IF(H693=0, "Correto", "Divergente")</f>
        <v/>
      </c>
    </row>
    <row r="694">
      <c r="A694" s="2" t="n">
        <v>693</v>
      </c>
      <c r="B694" s="2" t="n">
        <v>173</v>
      </c>
      <c r="C694" s="3" t="inlineStr">
        <is>
          <t>Monitor 4K 32" Profissional (Modelo 9)</t>
        </is>
      </c>
      <c r="D694" s="3" t="inlineStr">
        <is>
          <t>Monitores</t>
        </is>
      </c>
      <c r="E694" s="4" t="inlineStr">
        <is>
          <t>2025-09-06</t>
        </is>
      </c>
      <c r="F694" s="5" t="n">
        <v>3221</v>
      </c>
      <c r="G694" s="5" t="n">
        <v>2893</v>
      </c>
      <c r="H694" s="5">
        <f>G694-F694</f>
        <v/>
      </c>
      <c r="I694" s="6">
        <f>H694/F694</f>
        <v/>
      </c>
      <c r="J694" s="3" t="inlineStr">
        <is>
          <t>Roberto Fernandes</t>
        </is>
      </c>
      <c r="K694" s="7" t="inlineStr">
        <is>
          <t>A02</t>
        </is>
      </c>
      <c r="L694" s="7">
        <f>IF(H694=0, "Correto", "Divergente")</f>
        <v/>
      </c>
    </row>
    <row r="695">
      <c r="A695" s="8" t="n">
        <v>694</v>
      </c>
      <c r="B695" s="8" t="n">
        <v>9</v>
      </c>
      <c r="C695" s="9" t="inlineStr">
        <is>
          <t>Cabo DisplayPort 1.4 1.8m (Modelo 10)</t>
        </is>
      </c>
      <c r="D695" s="9" t="inlineStr">
        <is>
          <t>Acessórios</t>
        </is>
      </c>
      <c r="E695" s="10" t="inlineStr">
        <is>
          <t>2024-11-22</t>
        </is>
      </c>
      <c r="F695" s="11" t="n">
        <v>1049</v>
      </c>
      <c r="G695" s="11" t="n">
        <v>1096</v>
      </c>
      <c r="H695" s="11">
        <f>G695-F695</f>
        <v/>
      </c>
      <c r="I695" s="12">
        <f>H695/F695</f>
        <v/>
      </c>
      <c r="J695" s="9" t="inlineStr">
        <is>
          <t>Marcelo Fontes</t>
        </is>
      </c>
      <c r="K695" s="13" t="inlineStr">
        <is>
          <t>B03</t>
        </is>
      </c>
      <c r="L695" s="13">
        <f>IF(H695=0, "Correto", "Divergente")</f>
        <v/>
      </c>
    </row>
    <row r="696">
      <c r="A696" s="2" t="n">
        <v>695</v>
      </c>
      <c r="B696" s="2" t="n">
        <v>138</v>
      </c>
      <c r="C696" s="3" t="inlineStr">
        <is>
          <t>Repetidor Wi-Fi 1200Mbps (Modelo 4)</t>
        </is>
      </c>
      <c r="D696" s="3" t="inlineStr">
        <is>
          <t>Redes</t>
        </is>
      </c>
      <c r="E696" s="4" t="inlineStr">
        <is>
          <t>2026-12-15</t>
        </is>
      </c>
      <c r="F696" s="5" t="n">
        <v>4731</v>
      </c>
      <c r="G696" s="5" t="n">
        <v>4539</v>
      </c>
      <c r="H696" s="5">
        <f>G696-F696</f>
        <v/>
      </c>
      <c r="I696" s="6">
        <f>H696/F696</f>
        <v/>
      </c>
      <c r="J696" s="3" t="inlineStr">
        <is>
          <t>Carlos Eduardo Rocha</t>
        </is>
      </c>
      <c r="K696" s="7" t="inlineStr">
        <is>
          <t>C03</t>
        </is>
      </c>
      <c r="L696" s="7">
        <f>IF(H696=0, "Correto", "Divergente")</f>
        <v/>
      </c>
    </row>
    <row r="697">
      <c r="A697" s="8" t="n">
        <v>696</v>
      </c>
      <c r="B697" s="8" t="n">
        <v>138</v>
      </c>
      <c r="C697" s="9" t="inlineStr">
        <is>
          <t>Repetidor Wi-Fi 1200Mbps (Modelo 4)</t>
        </is>
      </c>
      <c r="D697" s="9" t="inlineStr">
        <is>
          <t>Redes</t>
        </is>
      </c>
      <c r="E697" s="10" t="inlineStr">
        <is>
          <t>2024-10-03</t>
        </is>
      </c>
      <c r="F697" s="11" t="n">
        <v>4489</v>
      </c>
      <c r="G697" s="11" t="n">
        <v>4489</v>
      </c>
      <c r="H697" s="11">
        <f>G697-F697</f>
        <v/>
      </c>
      <c r="I697" s="12">
        <f>H697/F697</f>
        <v/>
      </c>
      <c r="J697" s="9" t="inlineStr">
        <is>
          <t>Beatriz Castilho</t>
        </is>
      </c>
      <c r="K697" s="13" t="inlineStr">
        <is>
          <t>Depósito Externo</t>
        </is>
      </c>
      <c r="L697" s="13">
        <f>IF(H697=0, "Correto", "Divergente")</f>
        <v/>
      </c>
    </row>
    <row r="698">
      <c r="A698" s="2" t="n">
        <v>697</v>
      </c>
      <c r="B698" s="2" t="n">
        <v>65</v>
      </c>
      <c r="C698" s="3" t="inlineStr">
        <is>
          <t>Caixa de Som Bluetooth Portátil (Modelo 6)</t>
        </is>
      </c>
      <c r="D698" s="3" t="inlineStr">
        <is>
          <t>Áudio</t>
        </is>
      </c>
      <c r="E698" s="4" t="inlineStr">
        <is>
          <t>2025-05-05</t>
        </is>
      </c>
      <c r="F698" s="5" t="n">
        <v>2569</v>
      </c>
      <c r="G698" s="5" t="n">
        <v>2569</v>
      </c>
      <c r="H698" s="5">
        <f>G698-F698</f>
        <v/>
      </c>
      <c r="I698" s="6">
        <f>H698/F698</f>
        <v/>
      </c>
      <c r="J698" s="3" t="inlineStr">
        <is>
          <t>Mariana Alcantara</t>
        </is>
      </c>
      <c r="K698" s="7" t="inlineStr">
        <is>
          <t>B02</t>
        </is>
      </c>
      <c r="L698" s="7">
        <f>IF(H698=0, "Correto", "Divergente")</f>
        <v/>
      </c>
    </row>
    <row r="699">
      <c r="A699" s="8" t="n">
        <v>698</v>
      </c>
      <c r="B699" s="8" t="n">
        <v>106</v>
      </c>
      <c r="C699" s="9" t="inlineStr">
        <is>
          <t>HD Externo Portátil 2TB (Modelo 2)</t>
        </is>
      </c>
      <c r="D699" s="9" t="inlineStr">
        <is>
          <t>Armazenamento</t>
        </is>
      </c>
      <c r="E699" s="10" t="inlineStr">
        <is>
          <t>2026-02-03</t>
        </is>
      </c>
      <c r="F699" s="11" t="n">
        <v>1215</v>
      </c>
      <c r="G699" s="11" t="n">
        <v>1215</v>
      </c>
      <c r="H699" s="11">
        <f>G699-F699</f>
        <v/>
      </c>
      <c r="I699" s="12">
        <f>H699/F699</f>
        <v/>
      </c>
      <c r="J699" s="9" t="inlineStr">
        <is>
          <t>Marcelo Fontes</t>
        </is>
      </c>
      <c r="K699" s="13" t="inlineStr">
        <is>
          <t>B01</t>
        </is>
      </c>
      <c r="L699" s="13">
        <f>IF(H699=0, "Correto", "Divergente")</f>
        <v/>
      </c>
    </row>
    <row r="700">
      <c r="A700" s="2" t="n">
        <v>699</v>
      </c>
      <c r="B700" s="2" t="n">
        <v>45</v>
      </c>
      <c r="C700" s="3" t="inlineStr">
        <is>
          <t>Caixa de Som USB 10W (Modelo 1)</t>
        </is>
      </c>
      <c r="D700" s="3" t="inlineStr">
        <is>
          <t>Áudio</t>
        </is>
      </c>
      <c r="E700" s="4" t="inlineStr">
        <is>
          <t>2025-05-29</t>
        </is>
      </c>
      <c r="F700" s="5" t="n">
        <v>1921</v>
      </c>
      <c r="G700" s="5" t="n">
        <v>1881</v>
      </c>
      <c r="H700" s="5">
        <f>G700-F700</f>
        <v/>
      </c>
      <c r="I700" s="6">
        <f>H700/F700</f>
        <v/>
      </c>
      <c r="J700" s="3" t="inlineStr">
        <is>
          <t>Mariana Alcantara</t>
        </is>
      </c>
      <c r="K700" s="7" t="inlineStr">
        <is>
          <t>C03</t>
        </is>
      </c>
      <c r="L700" s="7">
        <f>IF(H700=0, "Correto", "Divergente")</f>
        <v/>
      </c>
    </row>
    <row r="701">
      <c r="A701" s="8" t="n">
        <v>700</v>
      </c>
      <c r="B701" s="8" t="n">
        <v>179</v>
      </c>
      <c r="C701" s="9" t="inlineStr">
        <is>
          <t>Nobreak 1200VA Bivolt (Modelo 15)</t>
        </is>
      </c>
      <c r="D701" s="9" t="inlineStr">
        <is>
          <t>Acessórios</t>
        </is>
      </c>
      <c r="E701" s="10" t="inlineStr">
        <is>
          <t>2025-09-18</t>
        </is>
      </c>
      <c r="F701" s="11" t="n">
        <v>3874</v>
      </c>
      <c r="G701" s="11" t="n">
        <v>4015</v>
      </c>
      <c r="H701" s="11">
        <f>G701-F701</f>
        <v/>
      </c>
      <c r="I701" s="12">
        <f>H701/F701</f>
        <v/>
      </c>
      <c r="J701" s="9" t="inlineStr">
        <is>
          <t>Marcelo Fontes</t>
        </is>
      </c>
      <c r="K701" s="13" t="inlineStr">
        <is>
          <t>B02</t>
        </is>
      </c>
      <c r="L701" s="13">
        <f>IF(H701=0, "Correto", "Divergente")</f>
        <v/>
      </c>
    </row>
    <row r="702">
      <c r="A702" s="2" t="n">
        <v>701</v>
      </c>
      <c r="B702" s="2" t="n">
        <v>43</v>
      </c>
      <c r="C702" s="3" t="inlineStr">
        <is>
          <t>Monitor LED 21.5" Full HD (Modelo 14)</t>
        </is>
      </c>
      <c r="D702" s="3" t="inlineStr">
        <is>
          <t>Monitores</t>
        </is>
      </c>
      <c r="E702" s="4" t="inlineStr">
        <is>
          <t>2025-07-27</t>
        </is>
      </c>
      <c r="F702" s="5" t="n">
        <v>4852</v>
      </c>
      <c r="G702" s="5" t="n">
        <v>4852</v>
      </c>
      <c r="H702" s="5">
        <f>G702-F702</f>
        <v/>
      </c>
      <c r="I702" s="6">
        <f>H702/F702</f>
        <v/>
      </c>
      <c r="J702" s="3" t="inlineStr">
        <is>
          <t>Marcelo Fontes</t>
        </is>
      </c>
      <c r="K702" s="7" t="inlineStr">
        <is>
          <t>C03</t>
        </is>
      </c>
      <c r="L702" s="7">
        <f>IF(H702=0, "Correto", "Divergente")</f>
        <v/>
      </c>
    </row>
    <row r="703">
      <c r="A703" s="8" t="n">
        <v>702</v>
      </c>
      <c r="B703" s="8" t="n">
        <v>177</v>
      </c>
      <c r="C703" s="9" t="inlineStr">
        <is>
          <t>Tablet 10.1" Wi-Fi 64GB (Modelo 13)</t>
        </is>
      </c>
      <c r="D703" s="9" t="inlineStr">
        <is>
          <t>Smartphones</t>
        </is>
      </c>
      <c r="E703" s="10" t="inlineStr">
        <is>
          <t>2024-06-14</t>
        </is>
      </c>
      <c r="F703" s="11" t="n">
        <v>4581</v>
      </c>
      <c r="G703" s="11" t="n">
        <v>4581</v>
      </c>
      <c r="H703" s="11">
        <f>G703-F703</f>
        <v/>
      </c>
      <c r="I703" s="12">
        <f>H703/F703</f>
        <v/>
      </c>
      <c r="J703" s="9" t="inlineStr">
        <is>
          <t>Camila Azevedo</t>
        </is>
      </c>
      <c r="K703" s="13" t="inlineStr">
        <is>
          <t>A01</t>
        </is>
      </c>
      <c r="L703" s="13">
        <f>IF(H703=0, "Correto", "Divergente")</f>
        <v/>
      </c>
    </row>
    <row r="704">
      <c r="A704" s="2" t="n">
        <v>703</v>
      </c>
      <c r="B704" s="2" t="n">
        <v>179</v>
      </c>
      <c r="C704" s="3" t="inlineStr">
        <is>
          <t>Nobreak 1200VA Bivolt (Modelo 15)</t>
        </is>
      </c>
      <c r="D704" s="3" t="inlineStr">
        <is>
          <t>Acessórios</t>
        </is>
      </c>
      <c r="E704" s="4" t="inlineStr">
        <is>
          <t>2026-03-24</t>
        </is>
      </c>
      <c r="F704" s="5" t="n">
        <v>1836</v>
      </c>
      <c r="G704" s="5" t="n">
        <v>1836</v>
      </c>
      <c r="H704" s="5">
        <f>G704-F704</f>
        <v/>
      </c>
      <c r="I704" s="6">
        <f>H704/F704</f>
        <v/>
      </c>
      <c r="J704" s="3" t="inlineStr">
        <is>
          <t>Patricia Prado</t>
        </is>
      </c>
      <c r="K704" s="7" t="inlineStr">
        <is>
          <t>A02</t>
        </is>
      </c>
      <c r="L704" s="7">
        <f>IF(H704=0, "Correto", "Divergente")</f>
        <v/>
      </c>
    </row>
    <row r="705">
      <c r="A705" s="8" t="n">
        <v>704</v>
      </c>
      <c r="B705" s="8" t="n">
        <v>24</v>
      </c>
      <c r="C705" s="9" t="inlineStr">
        <is>
          <t>Cartucho Colorido Premium (Modelo 10)</t>
        </is>
      </c>
      <c r="D705" s="9" t="inlineStr">
        <is>
          <t>Impressão</t>
        </is>
      </c>
      <c r="E705" s="10" t="inlineStr">
        <is>
          <t>2026-08-08</t>
        </is>
      </c>
      <c r="F705" s="11" t="n">
        <v>1102</v>
      </c>
      <c r="G705" s="11" t="n">
        <v>1102</v>
      </c>
      <c r="H705" s="11">
        <f>G705-F705</f>
        <v/>
      </c>
      <c r="I705" s="12">
        <f>H705/F705</f>
        <v/>
      </c>
      <c r="J705" s="9" t="inlineStr">
        <is>
          <t>Ricardo Mendes</t>
        </is>
      </c>
      <c r="K705" s="13" t="inlineStr">
        <is>
          <t>A03</t>
        </is>
      </c>
      <c r="L705" s="13">
        <f>IF(H705=0, "Correto", "Divergente")</f>
        <v/>
      </c>
    </row>
    <row r="706">
      <c r="A706" s="2" t="n">
        <v>705</v>
      </c>
      <c r="B706" s="2" t="n">
        <v>95</v>
      </c>
      <c r="C706" s="3" t="inlineStr">
        <is>
          <t>Caixa de Som Bluetooth Portátil (Modelo 6)</t>
        </is>
      </c>
      <c r="D706" s="3" t="inlineStr">
        <is>
          <t>Áudio</t>
        </is>
      </c>
      <c r="E706" s="4" t="inlineStr">
        <is>
          <t>2026-03-04</t>
        </is>
      </c>
      <c r="F706" s="5" t="n">
        <v>2075</v>
      </c>
      <c r="G706" s="5" t="n">
        <v>1994</v>
      </c>
      <c r="H706" s="5">
        <f>G706-F706</f>
        <v/>
      </c>
      <c r="I706" s="6">
        <f>H706/F706</f>
        <v/>
      </c>
      <c r="J706" s="3" t="inlineStr">
        <is>
          <t>Fernanda Vasconcelos</t>
        </is>
      </c>
      <c r="K706" s="7" t="inlineStr">
        <is>
          <t>B03</t>
        </is>
      </c>
      <c r="L706" s="7">
        <f>IF(H706=0, "Correto", "Divergente")</f>
        <v/>
      </c>
    </row>
    <row r="707">
      <c r="A707" s="8" t="n">
        <v>706</v>
      </c>
      <c r="B707" s="8" t="n">
        <v>67</v>
      </c>
      <c r="C707" s="9" t="inlineStr">
        <is>
          <t>Smartphone Empresarial 128GB (Modelo 8)</t>
        </is>
      </c>
      <c r="D707" s="9" t="inlineStr">
        <is>
          <t>Smartphones</t>
        </is>
      </c>
      <c r="E707" s="10" t="inlineStr">
        <is>
          <t>2025-12-10</t>
        </is>
      </c>
      <c r="F707" s="11" t="n">
        <v>3035</v>
      </c>
      <c r="G707" s="11" t="n">
        <v>3035</v>
      </c>
      <c r="H707" s="11">
        <f>G707-F707</f>
        <v/>
      </c>
      <c r="I707" s="12">
        <f>H707/F707</f>
        <v/>
      </c>
      <c r="J707" s="9" t="inlineStr">
        <is>
          <t>Gustavo Silveira</t>
        </is>
      </c>
      <c r="K707" s="13" t="inlineStr">
        <is>
          <t>A03</t>
        </is>
      </c>
      <c r="L707" s="13">
        <f>IF(H707=0, "Correto", "Divergente")</f>
        <v/>
      </c>
    </row>
    <row r="708">
      <c r="A708" s="2" t="n">
        <v>707</v>
      </c>
      <c r="B708" s="2" t="n">
        <v>2</v>
      </c>
      <c r="C708" s="3" t="inlineStr">
        <is>
          <t>Teclado Sem Fio Ergológico (Modelo 3)</t>
        </is>
      </c>
      <c r="D708" s="3" t="inlineStr">
        <is>
          <t>Periféricos</t>
        </is>
      </c>
      <c r="E708" s="4" t="inlineStr">
        <is>
          <t>2026-08-05</t>
        </is>
      </c>
      <c r="F708" s="5" t="n">
        <v>1674</v>
      </c>
      <c r="G708" s="5" t="n">
        <v>1641</v>
      </c>
      <c r="H708" s="5">
        <f>G708-F708</f>
        <v/>
      </c>
      <c r="I708" s="6">
        <f>H708/F708</f>
        <v/>
      </c>
      <c r="J708" s="3" t="inlineStr">
        <is>
          <t>Patricia Prado</t>
        </is>
      </c>
      <c r="K708" s="7" t="inlineStr">
        <is>
          <t>B02</t>
        </is>
      </c>
      <c r="L708" s="7">
        <f>IF(H708=0, "Correto", "Divergente")</f>
        <v/>
      </c>
    </row>
    <row r="709">
      <c r="A709" s="8" t="n">
        <v>708</v>
      </c>
      <c r="B709" s="8" t="n">
        <v>82</v>
      </c>
      <c r="C709" s="9" t="inlineStr">
        <is>
          <t>Combo Teclado e Mouse (Modelo 8)</t>
        </is>
      </c>
      <c r="D709" s="9" t="inlineStr">
        <is>
          <t>Periféricos</t>
        </is>
      </c>
      <c r="E709" s="10" t="inlineStr">
        <is>
          <t>2024-10-05</t>
        </is>
      </c>
      <c r="F709" s="11" t="n">
        <v>3482</v>
      </c>
      <c r="G709" s="11" t="n">
        <v>3482</v>
      </c>
      <c r="H709" s="11">
        <f>G709-F709</f>
        <v/>
      </c>
      <c r="I709" s="12">
        <f>H709/F709</f>
        <v/>
      </c>
      <c r="J709" s="9" t="inlineStr">
        <is>
          <t>Camila Azevedo</t>
        </is>
      </c>
      <c r="K709" s="13" t="inlineStr">
        <is>
          <t>B01</t>
        </is>
      </c>
      <c r="L709" s="13">
        <f>IF(H709=0, "Correto", "Divergente")</f>
        <v/>
      </c>
    </row>
    <row r="710">
      <c r="A710" s="2" t="n">
        <v>709</v>
      </c>
      <c r="B710" s="2" t="n">
        <v>41</v>
      </c>
      <c r="C710" s="3" t="inlineStr">
        <is>
          <t>Notebook Corporate i5 16GB (Modelo 12)</t>
        </is>
      </c>
      <c r="D710" s="3" t="inlineStr">
        <is>
          <t>Informática</t>
        </is>
      </c>
      <c r="E710" s="4" t="inlineStr">
        <is>
          <t>2025-11-25</t>
        </is>
      </c>
      <c r="F710" s="5" t="n">
        <v>4533</v>
      </c>
      <c r="G710" s="5" t="n">
        <v>4533</v>
      </c>
      <c r="H710" s="5">
        <f>G710-F710</f>
        <v/>
      </c>
      <c r="I710" s="6">
        <f>H710/F710</f>
        <v/>
      </c>
      <c r="J710" s="3" t="inlineStr">
        <is>
          <t>Beatriz Castilho</t>
        </is>
      </c>
      <c r="K710" s="7" t="inlineStr">
        <is>
          <t>A02</t>
        </is>
      </c>
      <c r="L710" s="7">
        <f>IF(H710=0, "Correto", "Divergente")</f>
        <v/>
      </c>
    </row>
    <row r="711">
      <c r="A711" s="8" t="n">
        <v>710</v>
      </c>
      <c r="B711" s="8" t="n">
        <v>83</v>
      </c>
      <c r="C711" s="9" t="inlineStr">
        <is>
          <t>Monitor 4K 32" Profissional (Modelo 9)</t>
        </is>
      </c>
      <c r="D711" s="9" t="inlineStr">
        <is>
          <t>Monitores</t>
        </is>
      </c>
      <c r="E711" s="10" t="inlineStr">
        <is>
          <t>2025-03-18</t>
        </is>
      </c>
      <c r="F711" s="11" t="n">
        <v>2063</v>
      </c>
      <c r="G711" s="11" t="n">
        <v>2126</v>
      </c>
      <c r="H711" s="11">
        <f>G711-F711</f>
        <v/>
      </c>
      <c r="I711" s="12">
        <f>H711/F711</f>
        <v/>
      </c>
      <c r="J711" s="9" t="inlineStr">
        <is>
          <t>Roberto Fernandes</t>
        </is>
      </c>
      <c r="K711" s="13" t="inlineStr">
        <is>
          <t>C03</t>
        </is>
      </c>
      <c r="L711" s="13">
        <f>IF(H711=0, "Correto", "Divergente")</f>
        <v/>
      </c>
    </row>
    <row r="712">
      <c r="A712" s="2" t="n">
        <v>711</v>
      </c>
      <c r="B712" s="2" t="n">
        <v>109</v>
      </c>
      <c r="C712" s="3" t="inlineStr">
        <is>
          <t>Nobreak 1200VA Bivolt (Modelo 5)</t>
        </is>
      </c>
      <c r="D712" s="3" t="inlineStr">
        <is>
          <t>Acessórios</t>
        </is>
      </c>
      <c r="E712" s="4" t="inlineStr">
        <is>
          <t>2025-06-30</t>
        </is>
      </c>
      <c r="F712" s="5" t="n">
        <v>3110</v>
      </c>
      <c r="G712" s="5" t="n">
        <v>3110</v>
      </c>
      <c r="H712" s="5">
        <f>G712-F712</f>
        <v/>
      </c>
      <c r="I712" s="6">
        <f>H712/F712</f>
        <v/>
      </c>
      <c r="J712" s="3" t="inlineStr">
        <is>
          <t>Roberto Fernandes</t>
        </is>
      </c>
      <c r="K712" s="7" t="inlineStr">
        <is>
          <t>C03</t>
        </is>
      </c>
      <c r="L712" s="7">
        <f>IF(H712=0, "Correto", "Divergente")</f>
        <v/>
      </c>
    </row>
    <row r="713">
      <c r="A713" s="8" t="n">
        <v>712</v>
      </c>
      <c r="B713" s="8" t="n">
        <v>146</v>
      </c>
      <c r="C713" s="9" t="inlineStr">
        <is>
          <t>SSD NVMe 1TB M.2 (Modelo 12)</t>
        </is>
      </c>
      <c r="D713" s="9" t="inlineStr">
        <is>
          <t>Armazenamento</t>
        </is>
      </c>
      <c r="E713" s="10" t="inlineStr">
        <is>
          <t>2025-09-27</t>
        </is>
      </c>
      <c r="F713" s="11" t="n">
        <v>1504</v>
      </c>
      <c r="G713" s="11" t="n">
        <v>1504</v>
      </c>
      <c r="H713" s="11">
        <f>G713-F713</f>
        <v/>
      </c>
      <c r="I713" s="12">
        <f>H713/F713</f>
        <v/>
      </c>
      <c r="J713" s="9" t="inlineStr">
        <is>
          <t>Marcelo Fontes</t>
        </is>
      </c>
      <c r="K713" s="13" t="inlineStr">
        <is>
          <t>C02</t>
        </is>
      </c>
      <c r="L713" s="13">
        <f>IF(H713=0, "Correto", "Divergente")</f>
        <v/>
      </c>
    </row>
    <row r="714">
      <c r="A714" s="2" t="n">
        <v>713</v>
      </c>
      <c r="B714" s="2" t="n">
        <v>59</v>
      </c>
      <c r="C714" s="3" t="inlineStr">
        <is>
          <t>Filtro de Linha 6 Tomadas (Modelo 15)</t>
        </is>
      </c>
      <c r="D714" s="3" t="inlineStr">
        <is>
          <t>Acessórios</t>
        </is>
      </c>
      <c r="E714" s="4" t="inlineStr">
        <is>
          <t>2025-05-22</t>
        </is>
      </c>
      <c r="F714" s="5" t="n">
        <v>4576</v>
      </c>
      <c r="G714" s="5" t="n">
        <v>4576</v>
      </c>
      <c r="H714" s="5">
        <f>G714-F714</f>
        <v/>
      </c>
      <c r="I714" s="6">
        <f>H714/F714</f>
        <v/>
      </c>
      <c r="J714" s="3" t="inlineStr">
        <is>
          <t>Gustavo Silveira</t>
        </is>
      </c>
      <c r="K714" s="7" t="inlineStr">
        <is>
          <t>A03</t>
        </is>
      </c>
      <c r="L714" s="7">
        <f>IF(H714=0, "Correto", "Divergente")</f>
        <v/>
      </c>
    </row>
    <row r="715">
      <c r="A715" s="8" t="n">
        <v>714</v>
      </c>
      <c r="B715" s="8" t="n">
        <v>168</v>
      </c>
      <c r="C715" s="9" t="inlineStr">
        <is>
          <t>Repetidor Wi-Fi 1200Mbps (Modelo 4)</t>
        </is>
      </c>
      <c r="D715" s="9" t="inlineStr">
        <is>
          <t>Redes</t>
        </is>
      </c>
      <c r="E715" s="10" t="inlineStr">
        <is>
          <t>2024-01-26</t>
        </is>
      </c>
      <c r="F715" s="11" t="n">
        <v>1345</v>
      </c>
      <c r="G715" s="11" t="n">
        <v>1345</v>
      </c>
      <c r="H715" s="11">
        <f>G715-F715</f>
        <v/>
      </c>
      <c r="I715" s="12">
        <f>H715/F715</f>
        <v/>
      </c>
      <c r="J715" s="9" t="inlineStr">
        <is>
          <t>Roberto Fernandes</t>
        </is>
      </c>
      <c r="K715" s="13" t="inlineStr">
        <is>
          <t>A01</t>
        </is>
      </c>
      <c r="L715" s="13">
        <f>IF(H715=0, "Correto", "Divergente")</f>
        <v/>
      </c>
    </row>
    <row r="716">
      <c r="A716" s="2" t="n">
        <v>715</v>
      </c>
      <c r="B716" s="2" t="n">
        <v>10</v>
      </c>
      <c r="C716" s="3" t="inlineStr">
        <is>
          <t>Fonte Atx 500W 80 Plus (Modelo 11)</t>
        </is>
      </c>
      <c r="D716" s="3" t="inlineStr">
        <is>
          <t>Componentes</t>
        </is>
      </c>
      <c r="E716" s="4" t="inlineStr">
        <is>
          <t>2024-11-11</t>
        </is>
      </c>
      <c r="F716" s="5" t="n">
        <v>4991</v>
      </c>
      <c r="G716" s="5" t="n">
        <v>4991</v>
      </c>
      <c r="H716" s="5">
        <f>G716-F716</f>
        <v/>
      </c>
      <c r="I716" s="6">
        <f>H716/F716</f>
        <v/>
      </c>
      <c r="J716" s="3" t="inlineStr">
        <is>
          <t>Marcelo Fontes</t>
        </is>
      </c>
      <c r="K716" s="7" t="inlineStr">
        <is>
          <t>A02</t>
        </is>
      </c>
      <c r="L716" s="7">
        <f>IF(H716=0, "Correto", "Divergente")</f>
        <v/>
      </c>
    </row>
    <row r="717">
      <c r="A717" s="8" t="n">
        <v>716</v>
      </c>
      <c r="B717" s="8" t="n">
        <v>83</v>
      </c>
      <c r="C717" s="9" t="inlineStr">
        <is>
          <t>Monitor 4K 32" Profissional (Modelo 9)</t>
        </is>
      </c>
      <c r="D717" s="9" t="inlineStr">
        <is>
          <t>Monitores</t>
        </is>
      </c>
      <c r="E717" s="10" t="inlineStr">
        <is>
          <t>2025-09-05</t>
        </is>
      </c>
      <c r="F717" s="11" t="n">
        <v>3932</v>
      </c>
      <c r="G717" s="11" t="n">
        <v>3932</v>
      </c>
      <c r="H717" s="11">
        <f>G717-F717</f>
        <v/>
      </c>
      <c r="I717" s="12">
        <f>H717/F717</f>
        <v/>
      </c>
      <c r="J717" s="9" t="inlineStr">
        <is>
          <t>Carlos Eduardo Rocha</t>
        </is>
      </c>
      <c r="K717" s="13" t="inlineStr">
        <is>
          <t>B02</t>
        </is>
      </c>
      <c r="L717" s="13">
        <f>IF(H717=0, "Correto", "Divergente")</f>
        <v/>
      </c>
    </row>
    <row r="718">
      <c r="A718" s="2" t="n">
        <v>717</v>
      </c>
      <c r="B718" s="2" t="n">
        <v>43</v>
      </c>
      <c r="C718" s="3" t="inlineStr">
        <is>
          <t>Monitor LED 21.5" Full HD (Modelo 14)</t>
        </is>
      </c>
      <c r="D718" s="3" t="inlineStr">
        <is>
          <t>Monitores</t>
        </is>
      </c>
      <c r="E718" s="4" t="inlineStr">
        <is>
          <t>2024-07-04</t>
        </is>
      </c>
      <c r="F718" s="5" t="n">
        <v>113</v>
      </c>
      <c r="G718" s="5" t="n">
        <v>111</v>
      </c>
      <c r="H718" s="5">
        <f>G718-F718</f>
        <v/>
      </c>
      <c r="I718" s="6">
        <f>H718/F718</f>
        <v/>
      </c>
      <c r="J718" s="3" t="inlineStr">
        <is>
          <t>Patricia Prado</t>
        </is>
      </c>
      <c r="K718" s="7" t="inlineStr">
        <is>
          <t>C02</t>
        </is>
      </c>
      <c r="L718" s="7">
        <f>IF(H718=0, "Correto", "Divergente")</f>
        <v/>
      </c>
    </row>
    <row r="719">
      <c r="A719" s="8" t="n">
        <v>718</v>
      </c>
      <c r="B719" s="8" t="n">
        <v>129</v>
      </c>
      <c r="C719" s="9" t="inlineStr">
        <is>
          <t>Filtro de Linha 6 Tomadas (Modelo 10)</t>
        </is>
      </c>
      <c r="D719" s="9" t="inlineStr">
        <is>
          <t>Acessórios</t>
        </is>
      </c>
      <c r="E719" s="10" t="inlineStr">
        <is>
          <t>2026-01-14</t>
        </is>
      </c>
      <c r="F719" s="11" t="n">
        <v>4805</v>
      </c>
      <c r="G719" s="11" t="n">
        <v>4691</v>
      </c>
      <c r="H719" s="11">
        <f>G719-F719</f>
        <v/>
      </c>
      <c r="I719" s="12">
        <f>H719/F719</f>
        <v/>
      </c>
      <c r="J719" s="9" t="inlineStr">
        <is>
          <t>Camila Azevedo</t>
        </is>
      </c>
      <c r="K719" s="13" t="inlineStr">
        <is>
          <t>A03</t>
        </is>
      </c>
      <c r="L719" s="13">
        <f>IF(H719=0, "Correto", "Divergente")</f>
        <v/>
      </c>
    </row>
    <row r="720">
      <c r="A720" s="2" t="n">
        <v>719</v>
      </c>
      <c r="B720" s="2" t="n">
        <v>190</v>
      </c>
      <c r="C720" s="3" t="inlineStr">
        <is>
          <t>Fonte Atx 500W 80 Plus (Modelo 11)</t>
        </is>
      </c>
      <c r="D720" s="3" t="inlineStr">
        <is>
          <t>Componentes</t>
        </is>
      </c>
      <c r="E720" s="4" t="inlineStr">
        <is>
          <t>2026-08-08</t>
        </is>
      </c>
      <c r="F720" s="5" t="n">
        <v>532</v>
      </c>
      <c r="G720" s="5" t="n">
        <v>463</v>
      </c>
      <c r="H720" s="5">
        <f>G720-F720</f>
        <v/>
      </c>
      <c r="I720" s="6">
        <f>H720/F720</f>
        <v/>
      </c>
      <c r="J720" s="3" t="inlineStr">
        <is>
          <t>Mariana Alcantara</t>
        </is>
      </c>
      <c r="K720" s="7" t="inlineStr">
        <is>
          <t>C02</t>
        </is>
      </c>
      <c r="L720" s="7">
        <f>IF(H720=0, "Correto", "Divergente")</f>
        <v/>
      </c>
    </row>
    <row r="721">
      <c r="A721" s="8" t="n">
        <v>720</v>
      </c>
      <c r="B721" s="8" t="n">
        <v>32</v>
      </c>
      <c r="C721" s="9" t="inlineStr">
        <is>
          <t>Mouse Sem Fio Bluetooth (Modelo 3)</t>
        </is>
      </c>
      <c r="D721" s="9" t="inlineStr">
        <is>
          <t>Periféricos</t>
        </is>
      </c>
      <c r="E721" s="10" t="inlineStr">
        <is>
          <t>2025-11-16</t>
        </is>
      </c>
      <c r="F721" s="11" t="n">
        <v>4464</v>
      </c>
      <c r="G721" s="11" t="n">
        <v>4464</v>
      </c>
      <c r="H721" s="11">
        <f>G721-F721</f>
        <v/>
      </c>
      <c r="I721" s="12">
        <f>H721/F721</f>
        <v/>
      </c>
      <c r="J721" s="9" t="inlineStr">
        <is>
          <t>Gustavo Silveira</t>
        </is>
      </c>
      <c r="K721" s="13" t="inlineStr">
        <is>
          <t>C03</t>
        </is>
      </c>
      <c r="L721" s="13">
        <f>IF(H721=0, "Correto", "Divergente")</f>
        <v/>
      </c>
    </row>
    <row r="722">
      <c r="A722" s="2" t="n">
        <v>721</v>
      </c>
      <c r="B722" s="2" t="n">
        <v>183</v>
      </c>
      <c r="C722" s="3" t="inlineStr">
        <is>
          <t>Monitor 27" Curvo 144Hz (Modelo 4)</t>
        </is>
      </c>
      <c r="D722" s="3" t="inlineStr">
        <is>
          <t>Monitores</t>
        </is>
      </c>
      <c r="E722" s="4" t="inlineStr">
        <is>
          <t>2025-02-01</t>
        </is>
      </c>
      <c r="F722" s="5" t="n">
        <v>2920</v>
      </c>
      <c r="G722" s="5" t="n">
        <v>2920</v>
      </c>
      <c r="H722" s="5">
        <f>G722-F722</f>
        <v/>
      </c>
      <c r="I722" s="6">
        <f>H722/F722</f>
        <v/>
      </c>
      <c r="J722" s="3" t="inlineStr">
        <is>
          <t>Carlos Eduardo Rocha</t>
        </is>
      </c>
      <c r="K722" s="7" t="inlineStr">
        <is>
          <t>B02</t>
        </is>
      </c>
      <c r="L722" s="7">
        <f>IF(H722=0, "Correto", "Divergente")</f>
        <v/>
      </c>
    </row>
    <row r="723">
      <c r="A723" s="8" t="n">
        <v>722</v>
      </c>
      <c r="B723" s="8" t="n">
        <v>4</v>
      </c>
      <c r="C723" s="9" t="inlineStr">
        <is>
          <t>Toner HP Preto Original (Modelo 5)</t>
        </is>
      </c>
      <c r="D723" s="9" t="inlineStr">
        <is>
          <t>Impressão</t>
        </is>
      </c>
      <c r="E723" s="10" t="inlineStr">
        <is>
          <t>2026-04-19</t>
        </is>
      </c>
      <c r="F723" s="11" t="n">
        <v>558</v>
      </c>
      <c r="G723" s="11" t="n">
        <v>592</v>
      </c>
      <c r="H723" s="11">
        <f>G723-F723</f>
        <v/>
      </c>
      <c r="I723" s="12">
        <f>H723/F723</f>
        <v/>
      </c>
      <c r="J723" s="9" t="inlineStr">
        <is>
          <t>Roberto Fernandes</t>
        </is>
      </c>
      <c r="K723" s="13" t="inlineStr">
        <is>
          <t>B03</t>
        </is>
      </c>
      <c r="L723" s="13">
        <f>IF(H723=0, "Correto", "Divergente")</f>
        <v/>
      </c>
    </row>
    <row r="724">
      <c r="A724" s="2" t="n">
        <v>723</v>
      </c>
      <c r="B724" s="2" t="n">
        <v>34</v>
      </c>
      <c r="C724" s="3" t="inlineStr">
        <is>
          <t>Toner HP Preto Original (Modelo 5)</t>
        </is>
      </c>
      <c r="D724" s="3" t="inlineStr">
        <is>
          <t>Impressão</t>
        </is>
      </c>
      <c r="E724" s="4" t="inlineStr">
        <is>
          <t>2025-06-13</t>
        </is>
      </c>
      <c r="F724" s="5" t="n">
        <v>248</v>
      </c>
      <c r="G724" s="5" t="n">
        <v>248</v>
      </c>
      <c r="H724" s="5">
        <f>G724-F724</f>
        <v/>
      </c>
      <c r="I724" s="6">
        <f>H724/F724</f>
        <v/>
      </c>
      <c r="J724" s="3" t="inlineStr">
        <is>
          <t>Marcelo Fontes</t>
        </is>
      </c>
      <c r="K724" s="7" t="inlineStr">
        <is>
          <t>C01</t>
        </is>
      </c>
      <c r="L724" s="7">
        <f>IF(H724=0, "Correto", "Divergente")</f>
        <v/>
      </c>
    </row>
    <row r="725">
      <c r="A725" s="8" t="n">
        <v>724</v>
      </c>
      <c r="B725" s="8" t="n">
        <v>61</v>
      </c>
      <c r="C725" s="9" t="inlineStr">
        <is>
          <t>Mini PC Ryzen 5 (Modelo 2)</t>
        </is>
      </c>
      <c r="D725" s="9" t="inlineStr">
        <is>
          <t>Informática</t>
        </is>
      </c>
      <c r="E725" s="10" t="inlineStr">
        <is>
          <t>2024-01-18</t>
        </is>
      </c>
      <c r="F725" s="11" t="n">
        <v>1896</v>
      </c>
      <c r="G725" s="11" t="n">
        <v>1896</v>
      </c>
      <c r="H725" s="11">
        <f>G725-F725</f>
        <v/>
      </c>
      <c r="I725" s="12">
        <f>H725/F725</f>
        <v/>
      </c>
      <c r="J725" s="9" t="inlineStr">
        <is>
          <t>Marcelo Fontes</t>
        </is>
      </c>
      <c r="K725" s="13" t="inlineStr">
        <is>
          <t>B02</t>
        </is>
      </c>
      <c r="L725" s="13">
        <f>IF(H725=0, "Correto", "Divergente")</f>
        <v/>
      </c>
    </row>
    <row r="726">
      <c r="A726" s="2" t="n">
        <v>725</v>
      </c>
      <c r="B726" s="2" t="n">
        <v>86</v>
      </c>
      <c r="C726" s="3" t="inlineStr">
        <is>
          <t>SSD NVMe 1TB M.2 (Modelo 12)</t>
        </is>
      </c>
      <c r="D726" s="3" t="inlineStr">
        <is>
          <t>Armazenamento</t>
        </is>
      </c>
      <c r="E726" s="4" t="inlineStr">
        <is>
          <t>2025-03-15</t>
        </is>
      </c>
      <c r="F726" s="5" t="n">
        <v>4542</v>
      </c>
      <c r="G726" s="5" t="n">
        <v>4542</v>
      </c>
      <c r="H726" s="5">
        <f>G726-F726</f>
        <v/>
      </c>
      <c r="I726" s="6">
        <f>H726/F726</f>
        <v/>
      </c>
      <c r="J726" s="3" t="inlineStr">
        <is>
          <t>Beatriz Castilho</t>
        </is>
      </c>
      <c r="K726" s="7" t="inlineStr">
        <is>
          <t>Depósito Externo</t>
        </is>
      </c>
      <c r="L726" s="7">
        <f>IF(H726=0, "Correto", "Divergente")</f>
        <v/>
      </c>
    </row>
    <row r="727">
      <c r="A727" s="8" t="n">
        <v>726</v>
      </c>
      <c r="B727" s="8" t="n">
        <v>129</v>
      </c>
      <c r="C727" s="9" t="inlineStr">
        <is>
          <t>Filtro de Linha 6 Tomadas (Modelo 10)</t>
        </is>
      </c>
      <c r="D727" s="9" t="inlineStr">
        <is>
          <t>Acessórios</t>
        </is>
      </c>
      <c r="E727" s="10" t="inlineStr">
        <is>
          <t>2024-06-13</t>
        </is>
      </c>
      <c r="F727" s="11" t="n">
        <v>1586</v>
      </c>
      <c r="G727" s="11" t="n">
        <v>1586</v>
      </c>
      <c r="H727" s="11">
        <f>G727-F727</f>
        <v/>
      </c>
      <c r="I727" s="12">
        <f>H727/F727</f>
        <v/>
      </c>
      <c r="J727" s="9" t="inlineStr">
        <is>
          <t>Patricia Prado</t>
        </is>
      </c>
      <c r="K727" s="13" t="inlineStr">
        <is>
          <t>A01</t>
        </is>
      </c>
      <c r="L727" s="13">
        <f>IF(H727=0, "Correto", "Divergente")</f>
        <v/>
      </c>
    </row>
    <row r="728">
      <c r="A728" s="2" t="n">
        <v>727</v>
      </c>
      <c r="B728" s="2" t="n">
        <v>64</v>
      </c>
      <c r="C728" s="3" t="inlineStr">
        <is>
          <t>Toner HP Preto Original (Modelo 5)</t>
        </is>
      </c>
      <c r="D728" s="3" t="inlineStr">
        <is>
          <t>Impressão</t>
        </is>
      </c>
      <c r="E728" s="4" t="inlineStr">
        <is>
          <t>2024-05-12</t>
        </is>
      </c>
      <c r="F728" s="5" t="n">
        <v>1783</v>
      </c>
      <c r="G728" s="5" t="n">
        <v>1783</v>
      </c>
      <c r="H728" s="5">
        <f>G728-F728</f>
        <v/>
      </c>
      <c r="I728" s="6">
        <f>H728/F728</f>
        <v/>
      </c>
      <c r="J728" s="3" t="inlineStr">
        <is>
          <t>Roberto Fernandes</t>
        </is>
      </c>
      <c r="K728" s="7" t="inlineStr">
        <is>
          <t>B02</t>
        </is>
      </c>
      <c r="L728" s="7">
        <f>IF(H728=0, "Correto", "Divergente")</f>
        <v/>
      </c>
    </row>
    <row r="729">
      <c r="A729" s="8" t="n">
        <v>728</v>
      </c>
      <c r="B729" s="8" t="n">
        <v>156</v>
      </c>
      <c r="C729" s="9" t="inlineStr">
        <is>
          <t>Cartão de Memória MicroSD 128GB (Modelo 7)</t>
        </is>
      </c>
      <c r="D729" s="9" t="inlineStr">
        <is>
          <t>Armazenamento</t>
        </is>
      </c>
      <c r="E729" s="10" t="inlineStr">
        <is>
          <t>2025-04-09</t>
        </is>
      </c>
      <c r="F729" s="11" t="n">
        <v>1137</v>
      </c>
      <c r="G729" s="11" t="n">
        <v>1137</v>
      </c>
      <c r="H729" s="11">
        <f>G729-F729</f>
        <v/>
      </c>
      <c r="I729" s="12">
        <f>H729/F729</f>
        <v/>
      </c>
      <c r="J729" s="9" t="inlineStr">
        <is>
          <t>Gustavo Silveira</t>
        </is>
      </c>
      <c r="K729" s="13" t="inlineStr">
        <is>
          <t>A01</t>
        </is>
      </c>
      <c r="L729" s="13">
        <f>IF(H729=0, "Correto", "Divergente")</f>
        <v/>
      </c>
    </row>
    <row r="730">
      <c r="A730" s="2" t="n">
        <v>729</v>
      </c>
      <c r="B730" s="2" t="n">
        <v>49</v>
      </c>
      <c r="C730" s="3" t="inlineStr">
        <is>
          <t>Mousepad Extra Grande (Modelo 5)</t>
        </is>
      </c>
      <c r="D730" s="3" t="inlineStr">
        <is>
          <t>Acessórios</t>
        </is>
      </c>
      <c r="E730" s="4" t="inlineStr">
        <is>
          <t>2024-04-21</t>
        </is>
      </c>
      <c r="F730" s="5" t="n">
        <v>4589</v>
      </c>
      <c r="G730" s="5" t="n">
        <v>4589</v>
      </c>
      <c r="H730" s="5">
        <f>G730-F730</f>
        <v/>
      </c>
      <c r="I730" s="6">
        <f>H730/F730</f>
        <v/>
      </c>
      <c r="J730" s="3" t="inlineStr">
        <is>
          <t>Beatriz Castilho</t>
        </is>
      </c>
      <c r="K730" s="7" t="inlineStr">
        <is>
          <t>C02</t>
        </is>
      </c>
      <c r="L730" s="7">
        <f>IF(H730=0, "Correto", "Divergente")</f>
        <v/>
      </c>
    </row>
    <row r="731">
      <c r="A731" s="8" t="n">
        <v>730</v>
      </c>
      <c r="B731" s="8" t="n">
        <v>101</v>
      </c>
      <c r="C731" s="9" t="inlineStr">
        <is>
          <t>Mini PC Ryzen 5 (Modelo 12)</t>
        </is>
      </c>
      <c r="D731" s="9" t="inlineStr">
        <is>
          <t>Informática</t>
        </is>
      </c>
      <c r="E731" s="10" t="inlineStr">
        <is>
          <t>2025-03-29</t>
        </is>
      </c>
      <c r="F731" s="11" t="n">
        <v>1591</v>
      </c>
      <c r="G731" s="11" t="n">
        <v>1606</v>
      </c>
      <c r="H731" s="11">
        <f>G731-F731</f>
        <v/>
      </c>
      <c r="I731" s="12">
        <f>H731/F731</f>
        <v/>
      </c>
      <c r="J731" s="9" t="inlineStr">
        <is>
          <t>Beatriz Castilho</t>
        </is>
      </c>
      <c r="K731" s="13" t="inlineStr">
        <is>
          <t>C02</t>
        </is>
      </c>
      <c r="L731" s="13">
        <f>IF(H731=0, "Correto", "Divergente")</f>
        <v/>
      </c>
    </row>
    <row r="732">
      <c r="A732" s="2" t="n">
        <v>731</v>
      </c>
      <c r="B732" s="2" t="n">
        <v>139</v>
      </c>
      <c r="C732" s="3" t="inlineStr">
        <is>
          <t>Mochila para Notebook 15.6" (Modelo 5)</t>
        </is>
      </c>
      <c r="D732" s="3" t="inlineStr">
        <is>
          <t>Acessórios</t>
        </is>
      </c>
      <c r="E732" s="4" t="inlineStr">
        <is>
          <t>2026-08-28</t>
        </is>
      </c>
      <c r="F732" s="5" t="n">
        <v>3</v>
      </c>
      <c r="G732" s="5" t="n">
        <v>3</v>
      </c>
      <c r="H732" s="5">
        <f>G732-F732</f>
        <v/>
      </c>
      <c r="I732" s="6">
        <f>H732/F732</f>
        <v/>
      </c>
      <c r="J732" s="3" t="inlineStr">
        <is>
          <t>Beatriz Castilho</t>
        </is>
      </c>
      <c r="K732" s="7" t="inlineStr">
        <is>
          <t>A03</t>
        </is>
      </c>
      <c r="L732" s="7">
        <f>IF(H732=0, "Correto", "Divergente")</f>
        <v/>
      </c>
    </row>
    <row r="733">
      <c r="A733" s="8" t="n">
        <v>732</v>
      </c>
      <c r="B733" s="8" t="n">
        <v>71</v>
      </c>
      <c r="C733" s="9" t="inlineStr">
        <is>
          <t>Chromebook 11.6" (Modelo 12)</t>
        </is>
      </c>
      <c r="D733" s="9" t="inlineStr">
        <is>
          <t>Informática</t>
        </is>
      </c>
      <c r="E733" s="10" t="inlineStr">
        <is>
          <t>2024-06-25</t>
        </is>
      </c>
      <c r="F733" s="11" t="n">
        <v>1688</v>
      </c>
      <c r="G733" s="11" t="n">
        <v>1688</v>
      </c>
      <c r="H733" s="11">
        <f>G733-F733</f>
        <v/>
      </c>
      <c r="I733" s="12">
        <f>H733/F733</f>
        <v/>
      </c>
      <c r="J733" s="9" t="inlineStr">
        <is>
          <t>Ricardo Mendes</t>
        </is>
      </c>
      <c r="K733" s="13" t="inlineStr">
        <is>
          <t>C03</t>
        </is>
      </c>
      <c r="L733" s="13">
        <f>IF(H733=0, "Correto", "Divergente")</f>
        <v/>
      </c>
    </row>
    <row r="734">
      <c r="A734" s="2" t="n">
        <v>733</v>
      </c>
      <c r="B734" s="2" t="n">
        <v>56</v>
      </c>
      <c r="C734" s="3" t="inlineStr">
        <is>
          <t>SSD NVMe 1TB M.2 (Modelo 12)</t>
        </is>
      </c>
      <c r="D734" s="3" t="inlineStr">
        <is>
          <t>Armazenamento</t>
        </is>
      </c>
      <c r="E734" s="4" t="inlineStr">
        <is>
          <t>2025-09-07</t>
        </is>
      </c>
      <c r="F734" s="5" t="n">
        <v>428</v>
      </c>
      <c r="G734" s="5" t="n">
        <v>428</v>
      </c>
      <c r="H734" s="5">
        <f>G734-F734</f>
        <v/>
      </c>
      <c r="I734" s="6">
        <f>H734/F734</f>
        <v/>
      </c>
      <c r="J734" s="3" t="inlineStr">
        <is>
          <t>Marcelo Fontes</t>
        </is>
      </c>
      <c r="K734" s="7" t="inlineStr">
        <is>
          <t>B01</t>
        </is>
      </c>
      <c r="L734" s="7">
        <f>IF(H734=0, "Correto", "Divergente")</f>
        <v/>
      </c>
    </row>
    <row r="735">
      <c r="A735" s="8" t="n">
        <v>734</v>
      </c>
      <c r="B735" s="8" t="n">
        <v>76</v>
      </c>
      <c r="C735" s="9" t="inlineStr">
        <is>
          <t>HD Externo Portátil 2TB (Modelo 2)</t>
        </is>
      </c>
      <c r="D735" s="9" t="inlineStr">
        <is>
          <t>Armazenamento</t>
        </is>
      </c>
      <c r="E735" s="10" t="inlineStr">
        <is>
          <t>2024-09-26</t>
        </is>
      </c>
      <c r="F735" s="11" t="n">
        <v>2524</v>
      </c>
      <c r="G735" s="11" t="n">
        <v>2524</v>
      </c>
      <c r="H735" s="11">
        <f>G735-F735</f>
        <v/>
      </c>
      <c r="I735" s="12">
        <f>H735/F735</f>
        <v/>
      </c>
      <c r="J735" s="9" t="inlineStr">
        <is>
          <t>Ricardo Mendes</t>
        </is>
      </c>
      <c r="K735" s="13" t="inlineStr">
        <is>
          <t>C01</t>
        </is>
      </c>
      <c r="L735" s="13">
        <f>IF(H735=0, "Correto", "Divergente")</f>
        <v/>
      </c>
    </row>
    <row r="736">
      <c r="A736" s="2" t="n">
        <v>735</v>
      </c>
      <c r="B736" s="2" t="n">
        <v>132</v>
      </c>
      <c r="C736" s="3" t="inlineStr">
        <is>
          <t>Webcam Full HD 1080p (Modelo 13)</t>
        </is>
      </c>
      <c r="D736" s="3" t="inlineStr">
        <is>
          <t>Periféricos</t>
        </is>
      </c>
      <c r="E736" s="4" t="inlineStr">
        <is>
          <t>2025-01-12</t>
        </is>
      </c>
      <c r="F736" s="5" t="n">
        <v>3617</v>
      </c>
      <c r="G736" s="5" t="n">
        <v>3617</v>
      </c>
      <c r="H736" s="5">
        <f>G736-F736</f>
        <v/>
      </c>
      <c r="I736" s="6">
        <f>H736/F736</f>
        <v/>
      </c>
      <c r="J736" s="3" t="inlineStr">
        <is>
          <t>Roberto Fernandes</t>
        </is>
      </c>
      <c r="K736" s="7" t="inlineStr">
        <is>
          <t>B03</t>
        </is>
      </c>
      <c r="L736" s="7">
        <f>IF(H736=0, "Correto", "Divergente")</f>
        <v/>
      </c>
    </row>
    <row r="737">
      <c r="A737" s="8" t="n">
        <v>736</v>
      </c>
      <c r="B737" s="8" t="n">
        <v>92</v>
      </c>
      <c r="C737" s="9" t="inlineStr">
        <is>
          <t>Teclado Mecânico RGB (Modelo 3)</t>
        </is>
      </c>
      <c r="D737" s="9" t="inlineStr">
        <is>
          <t>Periféricos</t>
        </is>
      </c>
      <c r="E737" s="10" t="inlineStr">
        <is>
          <t>2025-08-14</t>
        </is>
      </c>
      <c r="F737" s="11" t="n">
        <v>317</v>
      </c>
      <c r="G737" s="11" t="n">
        <v>317</v>
      </c>
      <c r="H737" s="11">
        <f>G737-F737</f>
        <v/>
      </c>
      <c r="I737" s="12">
        <f>H737/F737</f>
        <v/>
      </c>
      <c r="J737" s="9" t="inlineStr">
        <is>
          <t>Patricia Prado</t>
        </is>
      </c>
      <c r="K737" s="13" t="inlineStr">
        <is>
          <t>B01</t>
        </is>
      </c>
      <c r="L737" s="13">
        <f>IF(H737=0, "Correto", "Divergente")</f>
        <v/>
      </c>
    </row>
    <row r="738">
      <c r="A738" s="2" t="n">
        <v>737</v>
      </c>
      <c r="B738" s="2" t="n">
        <v>124</v>
      </c>
      <c r="C738" s="3" t="inlineStr">
        <is>
          <t>Toner HP Preto Original (Modelo 5)</t>
        </is>
      </c>
      <c r="D738" s="3" t="inlineStr">
        <is>
          <t>Impressão</t>
        </is>
      </c>
      <c r="E738" s="4" t="inlineStr">
        <is>
          <t>2025-06-21</t>
        </is>
      </c>
      <c r="F738" s="5" t="n">
        <v>161</v>
      </c>
      <c r="G738" s="5" t="n">
        <v>161</v>
      </c>
      <c r="H738" s="5">
        <f>G738-F738</f>
        <v/>
      </c>
      <c r="I738" s="6">
        <f>H738/F738</f>
        <v/>
      </c>
      <c r="J738" s="3" t="inlineStr">
        <is>
          <t>Roberto Fernandes</t>
        </is>
      </c>
      <c r="K738" s="7" t="inlineStr">
        <is>
          <t>B02</t>
        </is>
      </c>
      <c r="L738" s="7">
        <f>IF(H738=0, "Correto", "Divergente")</f>
        <v/>
      </c>
    </row>
    <row r="739">
      <c r="A739" s="8" t="n">
        <v>738</v>
      </c>
      <c r="B739" s="8" t="n">
        <v>9</v>
      </c>
      <c r="C739" s="9" t="inlineStr">
        <is>
          <t>Cabo DisplayPort 1.4 1.8m (Modelo 10)</t>
        </is>
      </c>
      <c r="D739" s="9" t="inlineStr">
        <is>
          <t>Acessórios</t>
        </is>
      </c>
      <c r="E739" s="10" t="inlineStr">
        <is>
          <t>2025-08-22</t>
        </is>
      </c>
      <c r="F739" s="11" t="n">
        <v>2359</v>
      </c>
      <c r="G739" s="11" t="n">
        <v>2422</v>
      </c>
      <c r="H739" s="11">
        <f>G739-F739</f>
        <v/>
      </c>
      <c r="I739" s="12">
        <f>H739/F739</f>
        <v/>
      </c>
      <c r="J739" s="9" t="inlineStr">
        <is>
          <t>Patricia Prado</t>
        </is>
      </c>
      <c r="K739" s="13" t="inlineStr">
        <is>
          <t>B02</t>
        </is>
      </c>
      <c r="L739" s="13">
        <f>IF(H739=0, "Correto", "Divergente")</f>
        <v/>
      </c>
    </row>
    <row r="740">
      <c r="A740" s="2" t="n">
        <v>739</v>
      </c>
      <c r="B740" s="2" t="n">
        <v>25</v>
      </c>
      <c r="C740" s="3" t="inlineStr">
        <is>
          <t>Headset USB com Cancelamento de Ruído (Modelo 11)</t>
        </is>
      </c>
      <c r="D740" s="3" t="inlineStr">
        <is>
          <t>Áudio</t>
        </is>
      </c>
      <c r="E740" s="4" t="inlineStr">
        <is>
          <t>2024-07-06</t>
        </is>
      </c>
      <c r="F740" s="5" t="n">
        <v>1616</v>
      </c>
      <c r="G740" s="5" t="n">
        <v>1616</v>
      </c>
      <c r="H740" s="5">
        <f>G740-F740</f>
        <v/>
      </c>
      <c r="I740" s="6">
        <f>H740/F740</f>
        <v/>
      </c>
      <c r="J740" s="3" t="inlineStr">
        <is>
          <t>Ricardo Mendes</t>
        </is>
      </c>
      <c r="K740" s="7" t="inlineStr">
        <is>
          <t>A02</t>
        </is>
      </c>
      <c r="L740" s="7">
        <f>IF(H740=0, "Correto", "Divergente")</f>
        <v/>
      </c>
    </row>
    <row r="741">
      <c r="A741" s="8" t="n">
        <v>740</v>
      </c>
      <c r="B741" s="8" t="n">
        <v>82</v>
      </c>
      <c r="C741" s="9" t="inlineStr">
        <is>
          <t>Combo Teclado e Mouse (Modelo 8)</t>
        </is>
      </c>
      <c r="D741" s="9" t="inlineStr">
        <is>
          <t>Periféricos</t>
        </is>
      </c>
      <c r="E741" s="10" t="inlineStr">
        <is>
          <t>2024-02-18</t>
        </is>
      </c>
      <c r="F741" s="11" t="n">
        <v>2587</v>
      </c>
      <c r="G741" s="11" t="n">
        <v>2520</v>
      </c>
      <c r="H741" s="11">
        <f>G741-F741</f>
        <v/>
      </c>
      <c r="I741" s="12">
        <f>H741/F741</f>
        <v/>
      </c>
      <c r="J741" s="9" t="inlineStr">
        <is>
          <t>Patricia Prado</t>
        </is>
      </c>
      <c r="K741" s="13" t="inlineStr">
        <is>
          <t>A02</t>
        </is>
      </c>
      <c r="L741" s="13">
        <f>IF(H741=0, "Correto", "Divergente")</f>
        <v/>
      </c>
    </row>
    <row r="742">
      <c r="A742" s="2" t="n">
        <v>741</v>
      </c>
      <c r="B742" s="2" t="n">
        <v>80</v>
      </c>
      <c r="C742" s="3" t="inlineStr">
        <is>
          <t>Memória RAM DDR4 16GB 3200MHz (Modelo 6)</t>
        </is>
      </c>
      <c r="D742" s="3" t="inlineStr">
        <is>
          <t>Componentes</t>
        </is>
      </c>
      <c r="E742" s="4" t="inlineStr">
        <is>
          <t>2024-07-25</t>
        </is>
      </c>
      <c r="F742" s="5" t="n">
        <v>3727</v>
      </c>
      <c r="G742" s="5" t="n">
        <v>3727</v>
      </c>
      <c r="H742" s="5">
        <f>G742-F742</f>
        <v/>
      </c>
      <c r="I742" s="6">
        <f>H742/F742</f>
        <v/>
      </c>
      <c r="J742" s="3" t="inlineStr">
        <is>
          <t>Camila Azevedo</t>
        </is>
      </c>
      <c r="K742" s="7" t="inlineStr">
        <is>
          <t>A01</t>
        </is>
      </c>
      <c r="L742" s="7">
        <f>IF(H742=0, "Correto", "Divergente")</f>
        <v/>
      </c>
    </row>
    <row r="743">
      <c r="A743" s="8" t="n">
        <v>742</v>
      </c>
      <c r="B743" s="8" t="n">
        <v>24</v>
      </c>
      <c r="C743" s="9" t="inlineStr">
        <is>
          <t>Cartucho Colorido Premium (Modelo 10)</t>
        </is>
      </c>
      <c r="D743" s="9" t="inlineStr">
        <is>
          <t>Impressão</t>
        </is>
      </c>
      <c r="E743" s="10" t="inlineStr">
        <is>
          <t>2025-06-18</t>
        </is>
      </c>
      <c r="F743" s="11" t="n">
        <v>2127</v>
      </c>
      <c r="G743" s="11" t="n">
        <v>2127</v>
      </c>
      <c r="H743" s="11">
        <f>G743-F743</f>
        <v/>
      </c>
      <c r="I743" s="12">
        <f>H743/F743</f>
        <v/>
      </c>
      <c r="J743" s="9" t="inlineStr">
        <is>
          <t>Roberto Fernandes</t>
        </is>
      </c>
      <c r="K743" s="13" t="inlineStr">
        <is>
          <t>B03</t>
        </is>
      </c>
      <c r="L743" s="13">
        <f>IF(H743=0, "Correto", "Divergente")</f>
        <v/>
      </c>
    </row>
    <row r="744">
      <c r="A744" s="2" t="n">
        <v>743</v>
      </c>
      <c r="B744" s="2" t="n">
        <v>92</v>
      </c>
      <c r="C744" s="3" t="inlineStr">
        <is>
          <t>Teclado Mecânico RGB (Modelo 3)</t>
        </is>
      </c>
      <c r="D744" s="3" t="inlineStr">
        <is>
          <t>Periféricos</t>
        </is>
      </c>
      <c r="E744" s="4" t="inlineStr">
        <is>
          <t>2024-10-24</t>
        </is>
      </c>
      <c r="F744" s="5" t="n">
        <v>3329</v>
      </c>
      <c r="G744" s="5" t="n">
        <v>3329</v>
      </c>
      <c r="H744" s="5">
        <f>G744-F744</f>
        <v/>
      </c>
      <c r="I744" s="6">
        <f>H744/F744</f>
        <v/>
      </c>
      <c r="J744" s="3" t="inlineStr">
        <is>
          <t>Ricardo Mendes</t>
        </is>
      </c>
      <c r="K744" s="7" t="inlineStr">
        <is>
          <t>A02</t>
        </is>
      </c>
      <c r="L744" s="7">
        <f>IF(H744=0, "Correto", "Divergente")</f>
        <v/>
      </c>
    </row>
    <row r="745">
      <c r="A745" s="8" t="n">
        <v>744</v>
      </c>
      <c r="B745" s="8" t="n">
        <v>107</v>
      </c>
      <c r="C745" s="9" t="inlineStr">
        <is>
          <t>Capa Protetora para Tablet (Modelo 3)</t>
        </is>
      </c>
      <c r="D745" s="9" t="inlineStr">
        <is>
          <t>Smartphones</t>
        </is>
      </c>
      <c r="E745" s="10" t="inlineStr">
        <is>
          <t>2025-03-16</t>
        </is>
      </c>
      <c r="F745" s="11" t="n">
        <v>3789</v>
      </c>
      <c r="G745" s="11" t="n">
        <v>3789</v>
      </c>
      <c r="H745" s="11">
        <f>G745-F745</f>
        <v/>
      </c>
      <c r="I745" s="12">
        <f>H745/F745</f>
        <v/>
      </c>
      <c r="J745" s="9" t="inlineStr">
        <is>
          <t>Marcelo Fontes</t>
        </is>
      </c>
      <c r="K745" s="13" t="inlineStr">
        <is>
          <t>B01</t>
        </is>
      </c>
      <c r="L745" s="13">
        <f>IF(H745=0, "Correto", "Divergente")</f>
        <v/>
      </c>
    </row>
    <row r="746">
      <c r="A746" s="2" t="n">
        <v>745</v>
      </c>
      <c r="B746" s="2" t="n">
        <v>150</v>
      </c>
      <c r="C746" s="3" t="inlineStr">
        <is>
          <t>Cooler para Processador 120mm (Modelo 1)</t>
        </is>
      </c>
      <c r="D746" s="3" t="inlineStr">
        <is>
          <t>Componentes</t>
        </is>
      </c>
      <c r="E746" s="4" t="inlineStr">
        <is>
          <t>2026-06-08</t>
        </is>
      </c>
      <c r="F746" s="5" t="n">
        <v>2462</v>
      </c>
      <c r="G746" s="5" t="n">
        <v>2462</v>
      </c>
      <c r="H746" s="5">
        <f>G746-F746</f>
        <v/>
      </c>
      <c r="I746" s="6">
        <f>H746/F746</f>
        <v/>
      </c>
      <c r="J746" s="3" t="inlineStr">
        <is>
          <t>Marcelo Fontes</t>
        </is>
      </c>
      <c r="K746" s="7" t="inlineStr">
        <is>
          <t>A03</t>
        </is>
      </c>
      <c r="L746" s="7">
        <f>IF(H746=0, "Correto", "Divergente")</f>
        <v/>
      </c>
    </row>
    <row r="747">
      <c r="A747" s="8" t="n">
        <v>746</v>
      </c>
      <c r="B747" s="8" t="n">
        <v>140</v>
      </c>
      <c r="C747" s="9" t="inlineStr">
        <is>
          <t>Memória RAM DDR4 16GB 3200MHz (Modelo 6)</t>
        </is>
      </c>
      <c r="D747" s="9" t="inlineStr">
        <is>
          <t>Componentes</t>
        </is>
      </c>
      <c r="E747" s="10" t="inlineStr">
        <is>
          <t>2025-10-21</t>
        </is>
      </c>
      <c r="F747" s="11" t="n">
        <v>3603</v>
      </c>
      <c r="G747" s="11" t="n">
        <v>3773</v>
      </c>
      <c r="H747" s="11">
        <f>G747-F747</f>
        <v/>
      </c>
      <c r="I747" s="12">
        <f>H747/F747</f>
        <v/>
      </c>
      <c r="J747" s="9" t="inlineStr">
        <is>
          <t>Marcelo Fontes</t>
        </is>
      </c>
      <c r="K747" s="13" t="inlineStr">
        <is>
          <t>B02</t>
        </is>
      </c>
      <c r="L747" s="13">
        <f>IF(H747=0, "Correto", "Divergente")</f>
        <v/>
      </c>
    </row>
    <row r="748">
      <c r="A748" s="2" t="n">
        <v>747</v>
      </c>
      <c r="B748" s="2" t="n">
        <v>127</v>
      </c>
      <c r="C748" s="3" t="inlineStr">
        <is>
          <t>Smartphone Empresarial 128GB (Modelo 8)</t>
        </is>
      </c>
      <c r="D748" s="3" t="inlineStr">
        <is>
          <t>Smartphones</t>
        </is>
      </c>
      <c r="E748" s="4" t="inlineStr">
        <is>
          <t>2024-04-25</t>
        </is>
      </c>
      <c r="F748" s="5" t="n">
        <v>1288</v>
      </c>
      <c r="G748" s="5" t="n">
        <v>1317</v>
      </c>
      <c r="H748" s="5">
        <f>G748-F748</f>
        <v/>
      </c>
      <c r="I748" s="6">
        <f>H748/F748</f>
        <v/>
      </c>
      <c r="J748" s="3" t="inlineStr">
        <is>
          <t>Beatriz Castilho</t>
        </is>
      </c>
      <c r="K748" s="7" t="inlineStr">
        <is>
          <t>B02</t>
        </is>
      </c>
      <c r="L748" s="7">
        <f>IF(H748=0, "Correto", "Divergente")</f>
        <v/>
      </c>
    </row>
    <row r="749">
      <c r="A749" s="8" t="n">
        <v>748</v>
      </c>
      <c r="B749" s="8" t="n">
        <v>64</v>
      </c>
      <c r="C749" s="9" t="inlineStr">
        <is>
          <t>Toner HP Preto Original (Modelo 5)</t>
        </is>
      </c>
      <c r="D749" s="9" t="inlineStr">
        <is>
          <t>Impressão</t>
        </is>
      </c>
      <c r="E749" s="10" t="inlineStr">
        <is>
          <t>2024-09-28</t>
        </is>
      </c>
      <c r="F749" s="11" t="n">
        <v>2139</v>
      </c>
      <c r="G749" s="11" t="n">
        <v>2139</v>
      </c>
      <c r="H749" s="11">
        <f>G749-F749</f>
        <v/>
      </c>
      <c r="I749" s="12">
        <f>H749/F749</f>
        <v/>
      </c>
      <c r="J749" s="9" t="inlineStr">
        <is>
          <t>Mariana Alcantara</t>
        </is>
      </c>
      <c r="K749" s="13" t="inlineStr">
        <is>
          <t>B03</t>
        </is>
      </c>
      <c r="L749" s="13">
        <f>IF(H749=0, "Correto", "Divergente")</f>
        <v/>
      </c>
    </row>
    <row r="750">
      <c r="A750" s="2" t="n">
        <v>749</v>
      </c>
      <c r="B750" s="2" t="n">
        <v>94</v>
      </c>
      <c r="C750" s="3" t="inlineStr">
        <is>
          <t>Toner HP Preto Original (Modelo 5)</t>
        </is>
      </c>
      <c r="D750" s="3" t="inlineStr">
        <is>
          <t>Impressão</t>
        </is>
      </c>
      <c r="E750" s="4" t="inlineStr">
        <is>
          <t>2026-10-01</t>
        </is>
      </c>
      <c r="F750" s="5" t="n">
        <v>3163</v>
      </c>
      <c r="G750" s="5" t="n">
        <v>3163</v>
      </c>
      <c r="H750" s="5">
        <f>G750-F750</f>
        <v/>
      </c>
      <c r="I750" s="6">
        <f>H750/F750</f>
        <v/>
      </c>
      <c r="J750" s="3" t="inlineStr">
        <is>
          <t>Camila Azevedo</t>
        </is>
      </c>
      <c r="K750" s="7" t="inlineStr">
        <is>
          <t>C01</t>
        </is>
      </c>
      <c r="L750" s="7">
        <f>IF(H750=0, "Correto", "Divergente")</f>
        <v/>
      </c>
    </row>
    <row r="751">
      <c r="A751" s="8" t="n">
        <v>750</v>
      </c>
      <c r="B751" s="8" t="n">
        <v>65</v>
      </c>
      <c r="C751" s="9" t="inlineStr">
        <is>
          <t>Caixa de Som Bluetooth Portátil (Modelo 6)</t>
        </is>
      </c>
      <c r="D751" s="9" t="inlineStr">
        <is>
          <t>Áudio</t>
        </is>
      </c>
      <c r="E751" s="10" t="inlineStr">
        <is>
          <t>2024-12-30</t>
        </is>
      </c>
      <c r="F751" s="11" t="n">
        <v>4003</v>
      </c>
      <c r="G751" s="11" t="n">
        <v>4113</v>
      </c>
      <c r="H751" s="11">
        <f>G751-F751</f>
        <v/>
      </c>
      <c r="I751" s="12">
        <f>H751/F751</f>
        <v/>
      </c>
      <c r="J751" s="9" t="inlineStr">
        <is>
          <t>Mariana Alcantara</t>
        </is>
      </c>
      <c r="K751" s="13" t="inlineStr">
        <is>
          <t>B03</t>
        </is>
      </c>
      <c r="L751" s="13">
        <f>IF(H751=0, "Correto", "Divergente")</f>
        <v/>
      </c>
    </row>
    <row r="752">
      <c r="A752" s="2" t="n">
        <v>751</v>
      </c>
      <c r="B752" s="2" t="n">
        <v>19</v>
      </c>
      <c r="C752" s="3" t="inlineStr">
        <is>
          <t>Hub USB-C 7 em 1 (Modelo 5)</t>
        </is>
      </c>
      <c r="D752" s="3" t="inlineStr">
        <is>
          <t>Acessórios</t>
        </is>
      </c>
      <c r="E752" s="4" t="inlineStr">
        <is>
          <t>2026-08-29</t>
        </is>
      </c>
      <c r="F752" s="5" t="n">
        <v>2216</v>
      </c>
      <c r="G752" s="5" t="n">
        <v>2216</v>
      </c>
      <c r="H752" s="5">
        <f>G752-F752</f>
        <v/>
      </c>
      <c r="I752" s="6">
        <f>H752/F752</f>
        <v/>
      </c>
      <c r="J752" s="3" t="inlineStr">
        <is>
          <t>Roberto Fernandes</t>
        </is>
      </c>
      <c r="K752" s="7" t="inlineStr">
        <is>
          <t>C02</t>
        </is>
      </c>
      <c r="L752" s="7">
        <f>IF(H752=0, "Correto", "Divergente")</f>
        <v/>
      </c>
    </row>
    <row r="753">
      <c r="A753" s="8" t="n">
        <v>752</v>
      </c>
      <c r="B753" s="8" t="n">
        <v>118</v>
      </c>
      <c r="C753" s="9" t="inlineStr">
        <is>
          <t>Access Point Wi-Fi Corporativo (Modelo 14)</t>
        </is>
      </c>
      <c r="D753" s="9" t="inlineStr">
        <is>
          <t>Redes</t>
        </is>
      </c>
      <c r="E753" s="10" t="inlineStr">
        <is>
          <t>2026-12-15</t>
        </is>
      </c>
      <c r="F753" s="11" t="n">
        <v>2843</v>
      </c>
      <c r="G753" s="11" t="n">
        <v>2843</v>
      </c>
      <c r="H753" s="11">
        <f>G753-F753</f>
        <v/>
      </c>
      <c r="I753" s="12">
        <f>H753/F753</f>
        <v/>
      </c>
      <c r="J753" s="9" t="inlineStr">
        <is>
          <t>Camila Azevedo</t>
        </is>
      </c>
      <c r="K753" s="13" t="inlineStr">
        <is>
          <t>B01</t>
        </is>
      </c>
      <c r="L753" s="13">
        <f>IF(H753=0, "Correto", "Divergente")</f>
        <v/>
      </c>
    </row>
    <row r="754">
      <c r="A754" s="2" t="n">
        <v>753</v>
      </c>
      <c r="B754" s="2" t="n">
        <v>38</v>
      </c>
      <c r="C754" s="3" t="inlineStr">
        <is>
          <t>Switch Gigabit 16 Portas (Modelo 9)</t>
        </is>
      </c>
      <c r="D754" s="3" t="inlineStr">
        <is>
          <t>Redes</t>
        </is>
      </c>
      <c r="E754" s="4" t="inlineStr">
        <is>
          <t>2024-11-05</t>
        </is>
      </c>
      <c r="F754" s="5" t="n">
        <v>3440</v>
      </c>
      <c r="G754" s="5" t="n">
        <v>3440</v>
      </c>
      <c r="H754" s="5">
        <f>G754-F754</f>
        <v/>
      </c>
      <c r="I754" s="6">
        <f>H754/F754</f>
        <v/>
      </c>
      <c r="J754" s="3" t="inlineStr">
        <is>
          <t>Beatriz Castilho</t>
        </is>
      </c>
      <c r="K754" s="7" t="inlineStr">
        <is>
          <t>A02</t>
        </is>
      </c>
      <c r="L754" s="7">
        <f>IF(H754=0, "Correto", "Divergente")</f>
        <v/>
      </c>
    </row>
    <row r="755">
      <c r="A755" s="8" t="n">
        <v>754</v>
      </c>
      <c r="B755" s="8" t="n">
        <v>170</v>
      </c>
      <c r="C755" s="9" t="inlineStr">
        <is>
          <t>Memória RAM DDR4 16GB 3200MHz (Modelo 6)</t>
        </is>
      </c>
      <c r="D755" s="9" t="inlineStr">
        <is>
          <t>Componentes</t>
        </is>
      </c>
      <c r="E755" s="10" t="inlineStr">
        <is>
          <t>2025-04-17</t>
        </is>
      </c>
      <c r="F755" s="11" t="n">
        <v>2857</v>
      </c>
      <c r="G755" s="11" t="n">
        <v>2857</v>
      </c>
      <c r="H755" s="11">
        <f>G755-F755</f>
        <v/>
      </c>
      <c r="I755" s="12">
        <f>H755/F755</f>
        <v/>
      </c>
      <c r="J755" s="9" t="inlineStr">
        <is>
          <t>Ricardo Mendes</t>
        </is>
      </c>
      <c r="K755" s="13" t="inlineStr">
        <is>
          <t>C02</t>
        </is>
      </c>
      <c r="L755" s="13">
        <f>IF(H755=0, "Correto", "Divergente")</f>
        <v/>
      </c>
    </row>
    <row r="756">
      <c r="A756" s="2" t="n">
        <v>755</v>
      </c>
      <c r="B756" s="2" t="n">
        <v>44</v>
      </c>
      <c r="C756" s="3" t="inlineStr">
        <is>
          <t>Multifuncional Tanque de Tinta (Modelo 15)</t>
        </is>
      </c>
      <c r="D756" s="3" t="inlineStr">
        <is>
          <t>Impressão</t>
        </is>
      </c>
      <c r="E756" s="4" t="inlineStr">
        <is>
          <t>2025-03-24</t>
        </is>
      </c>
      <c r="F756" s="5" t="n">
        <v>4123</v>
      </c>
      <c r="G756" s="5" t="n">
        <v>4123</v>
      </c>
      <c r="H756" s="5">
        <f>G756-F756</f>
        <v/>
      </c>
      <c r="I756" s="6">
        <f>H756/F756</f>
        <v/>
      </c>
      <c r="J756" s="3" t="inlineStr">
        <is>
          <t>Fernanda Vasconcelos</t>
        </is>
      </c>
      <c r="K756" s="7" t="inlineStr">
        <is>
          <t>B03</t>
        </is>
      </c>
      <c r="L756" s="7">
        <f>IF(H756=0, "Correto", "Divergente")</f>
        <v/>
      </c>
    </row>
    <row r="757">
      <c r="A757" s="8" t="n">
        <v>756</v>
      </c>
      <c r="B757" s="8" t="n">
        <v>90</v>
      </c>
      <c r="C757" s="9" t="inlineStr">
        <is>
          <t>Cooler para Processador 120mm (Modelo 1)</t>
        </is>
      </c>
      <c r="D757" s="9" t="inlineStr">
        <is>
          <t>Componentes</t>
        </is>
      </c>
      <c r="E757" s="10" t="inlineStr">
        <is>
          <t>2025-04-09</t>
        </is>
      </c>
      <c r="F757" s="11" t="n">
        <v>2534</v>
      </c>
      <c r="G757" s="11" t="n">
        <v>2534</v>
      </c>
      <c r="H757" s="11">
        <f>G757-F757</f>
        <v/>
      </c>
      <c r="I757" s="12">
        <f>H757/F757</f>
        <v/>
      </c>
      <c r="J757" s="9" t="inlineStr">
        <is>
          <t>Roberto Fernandes</t>
        </is>
      </c>
      <c r="K757" s="13" t="inlineStr">
        <is>
          <t>B03</t>
        </is>
      </c>
      <c r="L757" s="13">
        <f>IF(H757=0, "Correto", "Divergente")</f>
        <v/>
      </c>
    </row>
    <row r="758">
      <c r="A758" s="2" t="n">
        <v>757</v>
      </c>
      <c r="B758" s="2" t="n">
        <v>85</v>
      </c>
      <c r="C758" s="3" t="inlineStr">
        <is>
          <t>Headset USB com Cancelamento de Ruído (Modelo 11)</t>
        </is>
      </c>
      <c r="D758" s="3" t="inlineStr">
        <is>
          <t>Áudio</t>
        </is>
      </c>
      <c r="E758" s="4" t="inlineStr">
        <is>
          <t>2024-04-04</t>
        </is>
      </c>
      <c r="F758" s="5" t="n">
        <v>1448</v>
      </c>
      <c r="G758" s="5" t="n">
        <v>1409</v>
      </c>
      <c r="H758" s="5">
        <f>G758-F758</f>
        <v/>
      </c>
      <c r="I758" s="6">
        <f>H758/F758</f>
        <v/>
      </c>
      <c r="J758" s="3" t="inlineStr">
        <is>
          <t>Camila Azevedo</t>
        </is>
      </c>
      <c r="K758" s="7" t="inlineStr">
        <is>
          <t>C02</t>
        </is>
      </c>
      <c r="L758" s="7">
        <f>IF(H758=0, "Correto", "Divergente")</f>
        <v/>
      </c>
    </row>
    <row r="759">
      <c r="A759" s="8" t="n">
        <v>758</v>
      </c>
      <c r="B759" s="8" t="n">
        <v>128</v>
      </c>
      <c r="C759" s="9" t="inlineStr">
        <is>
          <t>Switch Gigabit 16 Portas (Modelo 9)</t>
        </is>
      </c>
      <c r="D759" s="9" t="inlineStr">
        <is>
          <t>Redes</t>
        </is>
      </c>
      <c r="E759" s="10" t="inlineStr">
        <is>
          <t>2026-06-29</t>
        </is>
      </c>
      <c r="F759" s="11" t="n">
        <v>4758</v>
      </c>
      <c r="G759" s="11" t="n">
        <v>4758</v>
      </c>
      <c r="H759" s="11">
        <f>G759-F759</f>
        <v/>
      </c>
      <c r="I759" s="12">
        <f>H759/F759</f>
        <v/>
      </c>
      <c r="J759" s="9" t="inlineStr">
        <is>
          <t>Beatriz Castilho</t>
        </is>
      </c>
      <c r="K759" s="13" t="inlineStr">
        <is>
          <t>C01</t>
        </is>
      </c>
      <c r="L759" s="13">
        <f>IF(H759=0, "Correto", "Divergente")</f>
        <v/>
      </c>
    </row>
    <row r="760">
      <c r="A760" s="2" t="n">
        <v>759</v>
      </c>
      <c r="B760" s="2" t="n">
        <v>95</v>
      </c>
      <c r="C760" s="3" t="inlineStr">
        <is>
          <t>Caixa de Som Bluetooth Portátil (Modelo 6)</t>
        </is>
      </c>
      <c r="D760" s="3" t="inlineStr">
        <is>
          <t>Áudio</t>
        </is>
      </c>
      <c r="E760" s="4" t="inlineStr">
        <is>
          <t>2026-01-22</t>
        </is>
      </c>
      <c r="F760" s="5" t="n">
        <v>2409</v>
      </c>
      <c r="G760" s="5" t="n">
        <v>2409</v>
      </c>
      <c r="H760" s="5">
        <f>G760-F760</f>
        <v/>
      </c>
      <c r="I760" s="6">
        <f>H760/F760</f>
        <v/>
      </c>
      <c r="J760" s="3" t="inlineStr">
        <is>
          <t>Roberto Fernandes</t>
        </is>
      </c>
      <c r="K760" s="7" t="inlineStr">
        <is>
          <t>A03</t>
        </is>
      </c>
      <c r="L760" s="7">
        <f>IF(H760=0, "Correto", "Divergente")</f>
        <v/>
      </c>
    </row>
    <row r="761">
      <c r="A761" s="8" t="n">
        <v>760</v>
      </c>
      <c r="B761" s="8" t="n">
        <v>175</v>
      </c>
      <c r="C761" s="9" t="inlineStr">
        <is>
          <t>Headset USB com Cancelamento de Ruído (Modelo 11)</t>
        </is>
      </c>
      <c r="D761" s="9" t="inlineStr">
        <is>
          <t>Áudio</t>
        </is>
      </c>
      <c r="E761" s="10" t="inlineStr">
        <is>
          <t>2025-12-25</t>
        </is>
      </c>
      <c r="F761" s="11" t="n">
        <v>3549</v>
      </c>
      <c r="G761" s="11" t="n">
        <v>3549</v>
      </c>
      <c r="H761" s="11">
        <f>G761-F761</f>
        <v/>
      </c>
      <c r="I761" s="12">
        <f>H761/F761</f>
        <v/>
      </c>
      <c r="J761" s="9" t="inlineStr">
        <is>
          <t>Roberto Fernandes</t>
        </is>
      </c>
      <c r="K761" s="13" t="inlineStr">
        <is>
          <t>A02</t>
        </is>
      </c>
      <c r="L761" s="13">
        <f>IF(H761=0, "Correto", "Divergente")</f>
        <v/>
      </c>
    </row>
    <row r="762">
      <c r="A762" s="2" t="n">
        <v>761</v>
      </c>
      <c r="B762" s="2" t="n">
        <v>134</v>
      </c>
      <c r="C762" s="3" t="inlineStr">
        <is>
          <t>Multifuncional Tanque de Tinta (Modelo 15)</t>
        </is>
      </c>
      <c r="D762" s="3" t="inlineStr">
        <is>
          <t>Impressão</t>
        </is>
      </c>
      <c r="E762" s="4" t="inlineStr">
        <is>
          <t>2026-06-30</t>
        </is>
      </c>
      <c r="F762" s="5" t="n">
        <v>4236</v>
      </c>
      <c r="G762" s="5" t="n">
        <v>4236</v>
      </c>
      <c r="H762" s="5">
        <f>G762-F762</f>
        <v/>
      </c>
      <c r="I762" s="6">
        <f>H762/F762</f>
        <v/>
      </c>
      <c r="J762" s="3" t="inlineStr">
        <is>
          <t>Patricia Prado</t>
        </is>
      </c>
      <c r="K762" s="7" t="inlineStr">
        <is>
          <t>A01</t>
        </is>
      </c>
      <c r="L762" s="7">
        <f>IF(H762=0, "Correto", "Divergente")</f>
        <v/>
      </c>
    </row>
    <row r="763">
      <c r="A763" s="8" t="n">
        <v>762</v>
      </c>
      <c r="B763" s="8" t="n">
        <v>18</v>
      </c>
      <c r="C763" s="9" t="inlineStr">
        <is>
          <t>Repetidor Wi-Fi 1200Mbps (Modelo 4)</t>
        </is>
      </c>
      <c r="D763" s="9" t="inlineStr">
        <is>
          <t>Redes</t>
        </is>
      </c>
      <c r="E763" s="10" t="inlineStr">
        <is>
          <t>2024-09-21</t>
        </is>
      </c>
      <c r="F763" s="11" t="n">
        <v>3044</v>
      </c>
      <c r="G763" s="11" t="n">
        <v>2971</v>
      </c>
      <c r="H763" s="11">
        <f>G763-F763</f>
        <v/>
      </c>
      <c r="I763" s="12">
        <f>H763/F763</f>
        <v/>
      </c>
      <c r="J763" s="9" t="inlineStr">
        <is>
          <t>Camila Azevedo</t>
        </is>
      </c>
      <c r="K763" s="13" t="inlineStr">
        <is>
          <t>Depósito Externo</t>
        </is>
      </c>
      <c r="L763" s="13">
        <f>IF(H763=0, "Correto", "Divergente")</f>
        <v/>
      </c>
    </row>
    <row r="764">
      <c r="A764" s="2" t="n">
        <v>763</v>
      </c>
      <c r="B764" s="2" t="n">
        <v>50</v>
      </c>
      <c r="C764" s="3" t="inlineStr">
        <is>
          <t>Memória RAM DDR4 16GB 3200MHz (Modelo 6)</t>
        </is>
      </c>
      <c r="D764" s="3" t="inlineStr">
        <is>
          <t>Componentes</t>
        </is>
      </c>
      <c r="E764" s="4" t="inlineStr">
        <is>
          <t>2025-02-11</t>
        </is>
      </c>
      <c r="F764" s="5" t="n">
        <v>2620</v>
      </c>
      <c r="G764" s="5" t="n">
        <v>2620</v>
      </c>
      <c r="H764" s="5">
        <f>G764-F764</f>
        <v/>
      </c>
      <c r="I764" s="6">
        <f>H764/F764</f>
        <v/>
      </c>
      <c r="J764" s="3" t="inlineStr">
        <is>
          <t>Patricia Prado</t>
        </is>
      </c>
      <c r="K764" s="7" t="inlineStr">
        <is>
          <t>C01</t>
        </is>
      </c>
      <c r="L764" s="7">
        <f>IF(H764=0, "Correto", "Divergente")</f>
        <v/>
      </c>
    </row>
    <row r="765">
      <c r="A765" s="8" t="n">
        <v>764</v>
      </c>
      <c r="B765" s="8" t="n">
        <v>138</v>
      </c>
      <c r="C765" s="9" t="inlineStr">
        <is>
          <t>Repetidor Wi-Fi 1200Mbps (Modelo 4)</t>
        </is>
      </c>
      <c r="D765" s="9" t="inlineStr">
        <is>
          <t>Redes</t>
        </is>
      </c>
      <c r="E765" s="10" t="inlineStr">
        <is>
          <t>2026-07-02</t>
        </is>
      </c>
      <c r="F765" s="11" t="n">
        <v>2336</v>
      </c>
      <c r="G765" s="11" t="n">
        <v>2336</v>
      </c>
      <c r="H765" s="11">
        <f>G765-F765</f>
        <v/>
      </c>
      <c r="I765" s="12">
        <f>H765/F765</f>
        <v/>
      </c>
      <c r="J765" s="9" t="inlineStr">
        <is>
          <t>Gustavo Silveira</t>
        </is>
      </c>
      <c r="K765" s="13" t="inlineStr">
        <is>
          <t>B03</t>
        </is>
      </c>
      <c r="L765" s="13">
        <f>IF(H765=0, "Correto", "Divergente")</f>
        <v/>
      </c>
    </row>
    <row r="766">
      <c r="A766" s="2" t="n">
        <v>765</v>
      </c>
      <c r="B766" s="2" t="n">
        <v>163</v>
      </c>
      <c r="C766" s="3" t="inlineStr">
        <is>
          <t>Monitor LED 21.5" Full HD (Modelo 14)</t>
        </is>
      </c>
      <c r="D766" s="3" t="inlineStr">
        <is>
          <t>Monitores</t>
        </is>
      </c>
      <c r="E766" s="4" t="inlineStr">
        <is>
          <t>2024-02-23</t>
        </is>
      </c>
      <c r="F766" s="5" t="n">
        <v>415</v>
      </c>
      <c r="G766" s="5" t="n">
        <v>415</v>
      </c>
      <c r="H766" s="5">
        <f>G766-F766</f>
        <v/>
      </c>
      <c r="I766" s="6">
        <f>H766/F766</f>
        <v/>
      </c>
      <c r="J766" s="3" t="inlineStr">
        <is>
          <t>Beatriz Castilho</t>
        </is>
      </c>
      <c r="K766" s="7" t="inlineStr">
        <is>
          <t>B01</t>
        </is>
      </c>
      <c r="L766" s="7">
        <f>IF(H766=0, "Correto", "Divergente")</f>
        <v/>
      </c>
    </row>
    <row r="767">
      <c r="A767" s="8" t="n">
        <v>766</v>
      </c>
      <c r="B767" s="8" t="n">
        <v>149</v>
      </c>
      <c r="C767" s="9" t="inlineStr">
        <is>
          <t>Cabo DisplayPort 1.4 1.8m (Modelo 15)</t>
        </is>
      </c>
      <c r="D767" s="9" t="inlineStr">
        <is>
          <t>Acessórios</t>
        </is>
      </c>
      <c r="E767" s="10" t="inlineStr">
        <is>
          <t>2026-09-09</t>
        </is>
      </c>
      <c r="F767" s="11" t="n">
        <v>3075</v>
      </c>
      <c r="G767" s="11" t="n">
        <v>3075</v>
      </c>
      <c r="H767" s="11">
        <f>G767-F767</f>
        <v/>
      </c>
      <c r="I767" s="12">
        <f>H767/F767</f>
        <v/>
      </c>
      <c r="J767" s="9" t="inlineStr">
        <is>
          <t>Camila Azevedo</t>
        </is>
      </c>
      <c r="K767" s="13" t="inlineStr">
        <is>
          <t>C03</t>
        </is>
      </c>
      <c r="L767" s="13">
        <f>IF(H767=0, "Correto", "Divergente")</f>
        <v/>
      </c>
    </row>
    <row r="768">
      <c r="A768" s="2" t="n">
        <v>767</v>
      </c>
      <c r="B768" s="2" t="n">
        <v>23</v>
      </c>
      <c r="C768" s="3" t="inlineStr">
        <is>
          <t>Monitor 4K 32" Profissional (Modelo 9)</t>
        </is>
      </c>
      <c r="D768" s="3" t="inlineStr">
        <is>
          <t>Monitores</t>
        </is>
      </c>
      <c r="E768" s="4" t="inlineStr">
        <is>
          <t>2024-08-19</t>
        </is>
      </c>
      <c r="F768" s="5" t="n">
        <v>4653</v>
      </c>
      <c r="G768" s="5" t="n">
        <v>4653</v>
      </c>
      <c r="H768" s="5">
        <f>G768-F768</f>
        <v/>
      </c>
      <c r="I768" s="6">
        <f>H768/F768</f>
        <v/>
      </c>
      <c r="J768" s="3" t="inlineStr">
        <is>
          <t>Mariana Alcantara</t>
        </is>
      </c>
      <c r="K768" s="7" t="inlineStr">
        <is>
          <t>A03</t>
        </is>
      </c>
      <c r="L768" s="7">
        <f>IF(H768=0, "Correto", "Divergente")</f>
        <v/>
      </c>
    </row>
    <row r="769">
      <c r="A769" s="8" t="n">
        <v>768</v>
      </c>
      <c r="B769" s="8" t="n">
        <v>120</v>
      </c>
      <c r="C769" s="9" t="inlineStr">
        <is>
          <t>Cooler para Processador 120mm (Modelo 1)</t>
        </is>
      </c>
      <c r="D769" s="9" t="inlineStr">
        <is>
          <t>Componentes</t>
        </is>
      </c>
      <c r="E769" s="10" t="inlineStr">
        <is>
          <t>2025-02-23</t>
        </is>
      </c>
      <c r="F769" s="11" t="n">
        <v>745</v>
      </c>
      <c r="G769" s="11" t="n">
        <v>745</v>
      </c>
      <c r="H769" s="11">
        <f>G769-F769</f>
        <v/>
      </c>
      <c r="I769" s="12">
        <f>H769/F769</f>
        <v/>
      </c>
      <c r="J769" s="9" t="inlineStr">
        <is>
          <t>Fernanda Vasconcelos</t>
        </is>
      </c>
      <c r="K769" s="13" t="inlineStr">
        <is>
          <t>A02</t>
        </is>
      </c>
      <c r="L769" s="13">
        <f>IF(H769=0, "Correto", "Divergente")</f>
        <v/>
      </c>
    </row>
    <row r="770">
      <c r="A770" s="2" t="n">
        <v>769</v>
      </c>
      <c r="B770" s="2" t="n">
        <v>198</v>
      </c>
      <c r="C770" s="3" t="inlineStr">
        <is>
          <t>Repetidor Wi-Fi 1200Mbps (Modelo 4)</t>
        </is>
      </c>
      <c r="D770" s="3" t="inlineStr">
        <is>
          <t>Redes</t>
        </is>
      </c>
      <c r="E770" s="4" t="inlineStr">
        <is>
          <t>2024-09-09</t>
        </is>
      </c>
      <c r="F770" s="5" t="n">
        <v>1757</v>
      </c>
      <c r="G770" s="5" t="n">
        <v>1757</v>
      </c>
      <c r="H770" s="5">
        <f>G770-F770</f>
        <v/>
      </c>
      <c r="I770" s="6">
        <f>H770/F770</f>
        <v/>
      </c>
      <c r="J770" s="3" t="inlineStr">
        <is>
          <t>Patricia Prado</t>
        </is>
      </c>
      <c r="K770" s="7" t="inlineStr">
        <is>
          <t>A02</t>
        </is>
      </c>
      <c r="L770" s="7">
        <f>IF(H770=0, "Correto", "Divergente")</f>
        <v/>
      </c>
    </row>
    <row r="771">
      <c r="A771" s="8" t="n">
        <v>770</v>
      </c>
      <c r="B771" s="8" t="n">
        <v>121</v>
      </c>
      <c r="C771" s="9" t="inlineStr">
        <is>
          <t>Notebook Corporate i5 16GB (Modelo 2)</t>
        </is>
      </c>
      <c r="D771" s="9" t="inlineStr">
        <is>
          <t>Informática</t>
        </is>
      </c>
      <c r="E771" s="10" t="inlineStr">
        <is>
          <t>2026-12-29</t>
        </is>
      </c>
      <c r="F771" s="11" t="n">
        <v>3393</v>
      </c>
      <c r="G771" s="11" t="n">
        <v>3393</v>
      </c>
      <c r="H771" s="11">
        <f>G771-F771</f>
        <v/>
      </c>
      <c r="I771" s="12">
        <f>H771/F771</f>
        <v/>
      </c>
      <c r="J771" s="9" t="inlineStr">
        <is>
          <t>Gustavo Silveira</t>
        </is>
      </c>
      <c r="K771" s="13" t="inlineStr">
        <is>
          <t>A02</t>
        </is>
      </c>
      <c r="L771" s="13">
        <f>IF(H771=0, "Correto", "Divergente")</f>
        <v/>
      </c>
    </row>
    <row r="772">
      <c r="A772" s="2" t="n">
        <v>771</v>
      </c>
      <c r="B772" s="2" t="n">
        <v>13</v>
      </c>
      <c r="C772" s="3" t="inlineStr">
        <is>
          <t>Monitor LED 21.5" Full HD (Modelo 14)</t>
        </is>
      </c>
      <c r="D772" s="3" t="inlineStr">
        <is>
          <t>Monitores</t>
        </is>
      </c>
      <c r="E772" s="4" t="inlineStr">
        <is>
          <t>2024-04-16</t>
        </is>
      </c>
      <c r="F772" s="5" t="n">
        <v>3167</v>
      </c>
      <c r="G772" s="5" t="n">
        <v>3167</v>
      </c>
      <c r="H772" s="5">
        <f>G772-F772</f>
        <v/>
      </c>
      <c r="I772" s="6">
        <f>H772/F772</f>
        <v/>
      </c>
      <c r="J772" s="3" t="inlineStr">
        <is>
          <t>Fernanda Vasconcelos</t>
        </is>
      </c>
      <c r="K772" s="7" t="inlineStr">
        <is>
          <t>B01</t>
        </is>
      </c>
      <c r="L772" s="7">
        <f>IF(H772=0, "Correto", "Divergente")</f>
        <v/>
      </c>
    </row>
    <row r="773">
      <c r="A773" s="8" t="n">
        <v>772</v>
      </c>
      <c r="B773" s="8" t="n">
        <v>73</v>
      </c>
      <c r="C773" s="9" t="inlineStr">
        <is>
          <t>Monitor LED 21.5" Full HD (Modelo 14)</t>
        </is>
      </c>
      <c r="D773" s="9" t="inlineStr">
        <is>
          <t>Monitores</t>
        </is>
      </c>
      <c r="E773" s="10" t="inlineStr">
        <is>
          <t>2025-10-05</t>
        </is>
      </c>
      <c r="F773" s="11" t="n">
        <v>2784</v>
      </c>
      <c r="G773" s="11" t="n">
        <v>2784</v>
      </c>
      <c r="H773" s="11">
        <f>G773-F773</f>
        <v/>
      </c>
      <c r="I773" s="12">
        <f>H773/F773</f>
        <v/>
      </c>
      <c r="J773" s="9" t="inlineStr">
        <is>
          <t>Roberto Fernandes</t>
        </is>
      </c>
      <c r="K773" s="13" t="inlineStr">
        <is>
          <t>C02</t>
        </is>
      </c>
      <c r="L773" s="13">
        <f>IF(H773=0, "Correto", "Divergente")</f>
        <v/>
      </c>
    </row>
    <row r="774">
      <c r="A774" s="2" t="n">
        <v>773</v>
      </c>
      <c r="B774" s="2" t="n">
        <v>198</v>
      </c>
      <c r="C774" s="3" t="inlineStr">
        <is>
          <t>Repetidor Wi-Fi 1200Mbps (Modelo 4)</t>
        </is>
      </c>
      <c r="D774" s="3" t="inlineStr">
        <is>
          <t>Redes</t>
        </is>
      </c>
      <c r="E774" s="4" t="inlineStr">
        <is>
          <t>2024-11-18</t>
        </is>
      </c>
      <c r="F774" s="5" t="n">
        <v>374</v>
      </c>
      <c r="G774" s="5" t="n">
        <v>374</v>
      </c>
      <c r="H774" s="5">
        <f>G774-F774</f>
        <v/>
      </c>
      <c r="I774" s="6">
        <f>H774/F774</f>
        <v/>
      </c>
      <c r="J774" s="3" t="inlineStr">
        <is>
          <t>Roberto Fernandes</t>
        </is>
      </c>
      <c r="K774" s="7" t="inlineStr">
        <is>
          <t>B01</t>
        </is>
      </c>
      <c r="L774" s="7">
        <f>IF(H774=0, "Correto", "Divergente")</f>
        <v/>
      </c>
    </row>
    <row r="775">
      <c r="A775" s="8" t="n">
        <v>774</v>
      </c>
      <c r="B775" s="8" t="n">
        <v>35</v>
      </c>
      <c r="C775" s="9" t="inlineStr">
        <is>
          <t>Caixa de Som Bluetooth Portátil (Modelo 6)</t>
        </is>
      </c>
      <c r="D775" s="9" t="inlineStr">
        <is>
          <t>Áudio</t>
        </is>
      </c>
      <c r="E775" s="10" t="inlineStr">
        <is>
          <t>2025-11-09</t>
        </is>
      </c>
      <c r="F775" s="11" t="n">
        <v>3900</v>
      </c>
      <c r="G775" s="11" t="n">
        <v>3900</v>
      </c>
      <c r="H775" s="11">
        <f>G775-F775</f>
        <v/>
      </c>
      <c r="I775" s="12">
        <f>H775/F775</f>
        <v/>
      </c>
      <c r="J775" s="9" t="inlineStr">
        <is>
          <t>Patricia Prado</t>
        </is>
      </c>
      <c r="K775" s="13" t="inlineStr">
        <is>
          <t>B02</t>
        </is>
      </c>
      <c r="L775" s="13">
        <f>IF(H775=0, "Correto", "Divergente")</f>
        <v/>
      </c>
    </row>
    <row r="776">
      <c r="A776" s="2" t="n">
        <v>775</v>
      </c>
      <c r="B776" s="2" t="n">
        <v>5</v>
      </c>
      <c r="C776" s="3" t="inlineStr">
        <is>
          <t>Caixa de Som Bluetooth Portátil (Modelo 6)</t>
        </is>
      </c>
      <c r="D776" s="3" t="inlineStr">
        <is>
          <t>Áudio</t>
        </is>
      </c>
      <c r="E776" s="4" t="inlineStr">
        <is>
          <t>2026-08-23</t>
        </is>
      </c>
      <c r="F776" s="5" t="n">
        <v>2056</v>
      </c>
      <c r="G776" s="5" t="n">
        <v>2056</v>
      </c>
      <c r="H776" s="5">
        <f>G776-F776</f>
        <v/>
      </c>
      <c r="I776" s="6">
        <f>H776/F776</f>
        <v/>
      </c>
      <c r="J776" s="3" t="inlineStr">
        <is>
          <t>Marcelo Fontes</t>
        </is>
      </c>
      <c r="K776" s="7" t="inlineStr">
        <is>
          <t>C02</t>
        </is>
      </c>
      <c r="L776" s="7">
        <f>IF(H776=0, "Correto", "Divergente")</f>
        <v/>
      </c>
    </row>
    <row r="777">
      <c r="A777" s="8" t="n">
        <v>776</v>
      </c>
      <c r="B777" s="8" t="n">
        <v>47</v>
      </c>
      <c r="C777" s="9" t="inlineStr">
        <is>
          <t>Capa Protetora para Tablet (Modelo 3)</t>
        </is>
      </c>
      <c r="D777" s="9" t="inlineStr">
        <is>
          <t>Smartphones</t>
        </is>
      </c>
      <c r="E777" s="10" t="inlineStr">
        <is>
          <t>2026-11-21</t>
        </is>
      </c>
      <c r="F777" s="11" t="n">
        <v>1039</v>
      </c>
      <c r="G777" s="11" t="n">
        <v>1028</v>
      </c>
      <c r="H777" s="11">
        <f>G777-F777</f>
        <v/>
      </c>
      <c r="I777" s="12">
        <f>H777/F777</f>
        <v/>
      </c>
      <c r="J777" s="9" t="inlineStr">
        <is>
          <t>Patricia Prado</t>
        </is>
      </c>
      <c r="K777" s="13" t="inlineStr">
        <is>
          <t>A03</t>
        </is>
      </c>
      <c r="L777" s="13">
        <f>IF(H777=0, "Correto", "Divergente")</f>
        <v/>
      </c>
    </row>
    <row r="778">
      <c r="A778" s="2" t="n">
        <v>777</v>
      </c>
      <c r="B778" s="2" t="n">
        <v>53</v>
      </c>
      <c r="C778" s="3" t="inlineStr">
        <is>
          <t>Monitor 4K 32" Profissional (Modelo 9)</t>
        </is>
      </c>
      <c r="D778" s="3" t="inlineStr">
        <is>
          <t>Monitores</t>
        </is>
      </c>
      <c r="E778" s="4" t="inlineStr">
        <is>
          <t>2026-10-01</t>
        </is>
      </c>
      <c r="F778" s="5" t="n">
        <v>1715</v>
      </c>
      <c r="G778" s="5" t="n">
        <v>1715</v>
      </c>
      <c r="H778" s="5">
        <f>G778-F778</f>
        <v/>
      </c>
      <c r="I778" s="6">
        <f>H778/F778</f>
        <v/>
      </c>
      <c r="J778" s="3" t="inlineStr">
        <is>
          <t>Roberto Fernandes</t>
        </is>
      </c>
      <c r="K778" s="7" t="inlineStr">
        <is>
          <t>A02</t>
        </is>
      </c>
      <c r="L778" s="7">
        <f>IF(H778=0, "Correto", "Divergente")</f>
        <v/>
      </c>
    </row>
    <row r="779">
      <c r="A779" s="8" t="n">
        <v>778</v>
      </c>
      <c r="B779" s="8" t="n">
        <v>153</v>
      </c>
      <c r="C779" s="9" t="inlineStr">
        <is>
          <t>Monitor 27" Curvo 144Hz (Modelo 4)</t>
        </is>
      </c>
      <c r="D779" s="9" t="inlineStr">
        <is>
          <t>Monitores</t>
        </is>
      </c>
      <c r="E779" s="10" t="inlineStr">
        <is>
          <t>2026-03-21</t>
        </is>
      </c>
      <c r="F779" s="11" t="n">
        <v>153</v>
      </c>
      <c r="G779" s="11" t="n">
        <v>153</v>
      </c>
      <c r="H779" s="11">
        <f>G779-F779</f>
        <v/>
      </c>
      <c r="I779" s="12">
        <f>H779/F779</f>
        <v/>
      </c>
      <c r="J779" s="9" t="inlineStr">
        <is>
          <t>Ricardo Mendes</t>
        </is>
      </c>
      <c r="K779" s="13" t="inlineStr">
        <is>
          <t>A01</t>
        </is>
      </c>
      <c r="L779" s="13">
        <f>IF(H779=0, "Correto", "Divergente")</f>
        <v/>
      </c>
    </row>
    <row r="780">
      <c r="A780" s="2" t="n">
        <v>779</v>
      </c>
      <c r="B780" s="2" t="n">
        <v>73</v>
      </c>
      <c r="C780" s="3" t="inlineStr">
        <is>
          <t>Monitor LED 21.5" Full HD (Modelo 14)</t>
        </is>
      </c>
      <c r="D780" s="3" t="inlineStr">
        <is>
          <t>Monitores</t>
        </is>
      </c>
      <c r="E780" s="4" t="inlineStr">
        <is>
          <t>2025-12-29</t>
        </is>
      </c>
      <c r="F780" s="5" t="n">
        <v>4010</v>
      </c>
      <c r="G780" s="5" t="n">
        <v>4010</v>
      </c>
      <c r="H780" s="5">
        <f>G780-F780</f>
        <v/>
      </c>
      <c r="I780" s="6">
        <f>H780/F780</f>
        <v/>
      </c>
      <c r="J780" s="3" t="inlineStr">
        <is>
          <t>Gustavo Silveira</t>
        </is>
      </c>
      <c r="K780" s="7" t="inlineStr">
        <is>
          <t>C03</t>
        </is>
      </c>
      <c r="L780" s="7">
        <f>IF(H780=0, "Correto", "Divergente")</f>
        <v/>
      </c>
    </row>
    <row r="781">
      <c r="A781" s="8" t="n">
        <v>780</v>
      </c>
      <c r="B781" s="8" t="n">
        <v>131</v>
      </c>
      <c r="C781" s="9" t="inlineStr">
        <is>
          <t>Desktop Core i5 8GB (Modelo 12)</t>
        </is>
      </c>
      <c r="D781" s="9" t="inlineStr">
        <is>
          <t>Informática</t>
        </is>
      </c>
      <c r="E781" s="10" t="inlineStr">
        <is>
          <t>2026-01-16</t>
        </is>
      </c>
      <c r="F781" s="11" t="n">
        <v>2199</v>
      </c>
      <c r="G781" s="11" t="n">
        <v>2199</v>
      </c>
      <c r="H781" s="11">
        <f>G781-F781</f>
        <v/>
      </c>
      <c r="I781" s="12">
        <f>H781/F781</f>
        <v/>
      </c>
      <c r="J781" s="9" t="inlineStr">
        <is>
          <t>Carlos Eduardo Rocha</t>
        </is>
      </c>
      <c r="K781" s="13" t="inlineStr">
        <is>
          <t>C01</t>
        </is>
      </c>
      <c r="L781" s="13">
        <f>IF(H781=0, "Correto", "Divergente")</f>
        <v/>
      </c>
    </row>
    <row r="782">
      <c r="A782" s="2" t="n">
        <v>781</v>
      </c>
      <c r="B782" s="2" t="n">
        <v>124</v>
      </c>
      <c r="C782" s="3" t="inlineStr">
        <is>
          <t>Toner HP Preto Original (Modelo 5)</t>
        </is>
      </c>
      <c r="D782" s="3" t="inlineStr">
        <is>
          <t>Impressão</t>
        </is>
      </c>
      <c r="E782" s="4" t="inlineStr">
        <is>
          <t>2026-06-18</t>
        </is>
      </c>
      <c r="F782" s="5" t="n">
        <v>4214</v>
      </c>
      <c r="G782" s="5" t="n">
        <v>4214</v>
      </c>
      <c r="H782" s="5">
        <f>G782-F782</f>
        <v/>
      </c>
      <c r="I782" s="6">
        <f>H782/F782</f>
        <v/>
      </c>
      <c r="J782" s="3" t="inlineStr">
        <is>
          <t>Patricia Prado</t>
        </is>
      </c>
      <c r="K782" s="7" t="inlineStr">
        <is>
          <t>C01</t>
        </is>
      </c>
      <c r="L782" s="7">
        <f>IF(H782=0, "Correto", "Divergente")</f>
        <v/>
      </c>
    </row>
    <row r="783">
      <c r="A783" s="8" t="n">
        <v>782</v>
      </c>
      <c r="B783" s="8" t="n">
        <v>188</v>
      </c>
      <c r="C783" s="9" t="inlineStr">
        <is>
          <t>Switch Gigabit 16 Portas (Modelo 9)</t>
        </is>
      </c>
      <c r="D783" s="9" t="inlineStr">
        <is>
          <t>Redes</t>
        </is>
      </c>
      <c r="E783" s="10" t="inlineStr">
        <is>
          <t>2025-05-30</t>
        </is>
      </c>
      <c r="F783" s="11" t="n">
        <v>916</v>
      </c>
      <c r="G783" s="11" t="n">
        <v>916</v>
      </c>
      <c r="H783" s="11">
        <f>G783-F783</f>
        <v/>
      </c>
      <c r="I783" s="12">
        <f>H783/F783</f>
        <v/>
      </c>
      <c r="J783" s="9" t="inlineStr">
        <is>
          <t>Carlos Eduardo Rocha</t>
        </is>
      </c>
      <c r="K783" s="13" t="inlineStr">
        <is>
          <t>B01</t>
        </is>
      </c>
      <c r="L783" s="13">
        <f>IF(H783=0, "Correto", "Divergente")</f>
        <v/>
      </c>
    </row>
    <row r="784">
      <c r="A784" s="2" t="n">
        <v>783</v>
      </c>
      <c r="B784" s="2" t="n">
        <v>80</v>
      </c>
      <c r="C784" s="3" t="inlineStr">
        <is>
          <t>Memória RAM DDR4 16GB 3200MHz (Modelo 6)</t>
        </is>
      </c>
      <c r="D784" s="3" t="inlineStr">
        <is>
          <t>Componentes</t>
        </is>
      </c>
      <c r="E784" s="4" t="inlineStr">
        <is>
          <t>2026-07-26</t>
        </is>
      </c>
      <c r="F784" s="5" t="n">
        <v>3527</v>
      </c>
      <c r="G784" s="5" t="n">
        <v>3417</v>
      </c>
      <c r="H784" s="5">
        <f>G784-F784</f>
        <v/>
      </c>
      <c r="I784" s="6">
        <f>H784/F784</f>
        <v/>
      </c>
      <c r="J784" s="3" t="inlineStr">
        <is>
          <t>Beatriz Castilho</t>
        </is>
      </c>
      <c r="K784" s="7" t="inlineStr">
        <is>
          <t>C01</t>
        </is>
      </c>
      <c r="L784" s="7">
        <f>IF(H784=0, "Correto", "Divergente")</f>
        <v/>
      </c>
    </row>
    <row r="785">
      <c r="A785" s="8" t="n">
        <v>784</v>
      </c>
      <c r="B785" s="8" t="n">
        <v>165</v>
      </c>
      <c r="C785" s="9" t="inlineStr">
        <is>
          <t>Caixa de Som USB 10W (Modelo 1)</t>
        </is>
      </c>
      <c r="D785" s="9" t="inlineStr">
        <is>
          <t>Áudio</t>
        </is>
      </c>
      <c r="E785" s="10" t="inlineStr">
        <is>
          <t>2024-08-26</t>
        </is>
      </c>
      <c r="F785" s="11" t="n">
        <v>2831</v>
      </c>
      <c r="G785" s="11" t="n">
        <v>2831</v>
      </c>
      <c r="H785" s="11">
        <f>G785-F785</f>
        <v/>
      </c>
      <c r="I785" s="12">
        <f>H785/F785</f>
        <v/>
      </c>
      <c r="J785" s="9" t="inlineStr">
        <is>
          <t>Beatriz Castilho</t>
        </is>
      </c>
      <c r="K785" s="13" t="inlineStr">
        <is>
          <t>A01</t>
        </is>
      </c>
      <c r="L785" s="13">
        <f>IF(H785=0, "Correto", "Divergente")</f>
        <v/>
      </c>
    </row>
    <row r="786">
      <c r="A786" s="2" t="n">
        <v>785</v>
      </c>
      <c r="B786" s="2" t="n">
        <v>183</v>
      </c>
      <c r="C786" s="3" t="inlineStr">
        <is>
          <t>Monitor 27" Curvo 144Hz (Modelo 4)</t>
        </is>
      </c>
      <c r="D786" s="3" t="inlineStr">
        <is>
          <t>Monitores</t>
        </is>
      </c>
      <c r="E786" s="4" t="inlineStr">
        <is>
          <t>2026-08-16</t>
        </is>
      </c>
      <c r="F786" s="5" t="n">
        <v>2663</v>
      </c>
      <c r="G786" s="5" t="n">
        <v>2663</v>
      </c>
      <c r="H786" s="5">
        <f>G786-F786</f>
        <v/>
      </c>
      <c r="I786" s="6">
        <f>H786/F786</f>
        <v/>
      </c>
      <c r="J786" s="3" t="inlineStr">
        <is>
          <t>Mariana Alcantara</t>
        </is>
      </c>
      <c r="K786" s="7" t="inlineStr">
        <is>
          <t>C01</t>
        </is>
      </c>
      <c r="L786" s="7">
        <f>IF(H786=0, "Correto", "Divergente")</f>
        <v/>
      </c>
    </row>
    <row r="787">
      <c r="A787" s="8" t="n">
        <v>786</v>
      </c>
      <c r="B787" s="8" t="n">
        <v>39</v>
      </c>
      <c r="C787" s="9" t="inlineStr">
        <is>
          <t>Nobreak 1200VA Bivolt (Modelo 10)</t>
        </is>
      </c>
      <c r="D787" s="9" t="inlineStr">
        <is>
          <t>Acessórios</t>
        </is>
      </c>
      <c r="E787" s="10" t="inlineStr">
        <is>
          <t>2025-08-18</t>
        </is>
      </c>
      <c r="F787" s="11" t="n">
        <v>1663</v>
      </c>
      <c r="G787" s="11" t="n">
        <v>1663</v>
      </c>
      <c r="H787" s="11">
        <f>G787-F787</f>
        <v/>
      </c>
      <c r="I787" s="12">
        <f>H787/F787</f>
        <v/>
      </c>
      <c r="J787" s="9" t="inlineStr">
        <is>
          <t>Gustavo Silveira</t>
        </is>
      </c>
      <c r="K787" s="13" t="inlineStr">
        <is>
          <t>C02</t>
        </is>
      </c>
      <c r="L787" s="13">
        <f>IF(H787=0, "Correto", "Divergente")</f>
        <v/>
      </c>
    </row>
    <row r="788">
      <c r="A788" s="2" t="n">
        <v>787</v>
      </c>
      <c r="B788" s="2" t="n">
        <v>65</v>
      </c>
      <c r="C788" s="3" t="inlineStr">
        <is>
          <t>Caixa de Som Bluetooth Portátil (Modelo 6)</t>
        </is>
      </c>
      <c r="D788" s="3" t="inlineStr">
        <is>
          <t>Áudio</t>
        </is>
      </c>
      <c r="E788" s="4" t="inlineStr">
        <is>
          <t>2025-11-06</t>
        </is>
      </c>
      <c r="F788" s="5" t="n">
        <v>1673</v>
      </c>
      <c r="G788" s="5" t="n">
        <v>1673</v>
      </c>
      <c r="H788" s="5">
        <f>G788-F788</f>
        <v/>
      </c>
      <c r="I788" s="6">
        <f>H788/F788</f>
        <v/>
      </c>
      <c r="J788" s="3" t="inlineStr">
        <is>
          <t>Marcelo Fontes</t>
        </is>
      </c>
      <c r="K788" s="7" t="inlineStr">
        <is>
          <t>C01</t>
        </is>
      </c>
      <c r="L788" s="7">
        <f>IF(H788=0, "Correto", "Divergente")</f>
        <v/>
      </c>
    </row>
    <row r="789">
      <c r="A789" s="8" t="n">
        <v>788</v>
      </c>
      <c r="B789" s="8" t="n">
        <v>124</v>
      </c>
      <c r="C789" s="9" t="inlineStr">
        <is>
          <t>Toner HP Preto Original (Modelo 5)</t>
        </is>
      </c>
      <c r="D789" s="9" t="inlineStr">
        <is>
          <t>Impressão</t>
        </is>
      </c>
      <c r="E789" s="10" t="inlineStr">
        <is>
          <t>2024-12-21</t>
        </is>
      </c>
      <c r="F789" s="11" t="n">
        <v>4543</v>
      </c>
      <c r="G789" s="11" t="n">
        <v>4543</v>
      </c>
      <c r="H789" s="11">
        <f>G789-F789</f>
        <v/>
      </c>
      <c r="I789" s="12">
        <f>H789/F789</f>
        <v/>
      </c>
      <c r="J789" s="9" t="inlineStr">
        <is>
          <t>Ricardo Mendes</t>
        </is>
      </c>
      <c r="K789" s="13" t="inlineStr">
        <is>
          <t>C02</t>
        </is>
      </c>
      <c r="L789" s="13">
        <f>IF(H789=0, "Correto", "Divergente")</f>
        <v/>
      </c>
    </row>
    <row r="790">
      <c r="A790" s="2" t="n">
        <v>789</v>
      </c>
      <c r="B790" s="2" t="n">
        <v>44</v>
      </c>
      <c r="C790" s="3" t="inlineStr">
        <is>
          <t>Multifuncional Tanque de Tinta (Modelo 15)</t>
        </is>
      </c>
      <c r="D790" s="3" t="inlineStr">
        <is>
          <t>Impressão</t>
        </is>
      </c>
      <c r="E790" s="4" t="inlineStr">
        <is>
          <t>2026-11-25</t>
        </is>
      </c>
      <c r="F790" s="5" t="n">
        <v>523</v>
      </c>
      <c r="G790" s="5" t="n">
        <v>523</v>
      </c>
      <c r="H790" s="5">
        <f>G790-F790</f>
        <v/>
      </c>
      <c r="I790" s="6">
        <f>H790/F790</f>
        <v/>
      </c>
      <c r="J790" s="3" t="inlineStr">
        <is>
          <t>Gustavo Silveira</t>
        </is>
      </c>
      <c r="K790" s="7" t="inlineStr">
        <is>
          <t>A01</t>
        </is>
      </c>
      <c r="L790" s="7">
        <f>IF(H790=0, "Correto", "Divergente")</f>
        <v/>
      </c>
    </row>
    <row r="791">
      <c r="A791" s="8" t="n">
        <v>790</v>
      </c>
      <c r="B791" s="8" t="n">
        <v>55</v>
      </c>
      <c r="C791" s="9" t="inlineStr">
        <is>
          <t>Headset USB com Cancelamento de Ruído (Modelo 11)</t>
        </is>
      </c>
      <c r="D791" s="9" t="inlineStr">
        <is>
          <t>Áudio</t>
        </is>
      </c>
      <c r="E791" s="10" t="inlineStr">
        <is>
          <t>2026-10-04</t>
        </is>
      </c>
      <c r="F791" s="11" t="n">
        <v>1248</v>
      </c>
      <c r="G791" s="11" t="n">
        <v>1248</v>
      </c>
      <c r="H791" s="11">
        <f>G791-F791</f>
        <v/>
      </c>
      <c r="I791" s="12">
        <f>H791/F791</f>
        <v/>
      </c>
      <c r="J791" s="9" t="inlineStr">
        <is>
          <t>Gustavo Silveira</t>
        </is>
      </c>
      <c r="K791" s="13" t="inlineStr">
        <is>
          <t>B01</t>
        </is>
      </c>
      <c r="L791" s="13">
        <f>IF(H791=0, "Correto", "Divergente")</f>
        <v/>
      </c>
    </row>
    <row r="792">
      <c r="A792" s="2" t="n">
        <v>791</v>
      </c>
      <c r="B792" s="2" t="n">
        <v>117</v>
      </c>
      <c r="C792" s="3" t="inlineStr">
        <is>
          <t>Tablet 10.1" Wi-Fi 64GB (Modelo 13)</t>
        </is>
      </c>
      <c r="D792" s="3" t="inlineStr">
        <is>
          <t>Smartphones</t>
        </is>
      </c>
      <c r="E792" s="4" t="inlineStr">
        <is>
          <t>2026-06-07</t>
        </is>
      </c>
      <c r="F792" s="5" t="n">
        <v>3882</v>
      </c>
      <c r="G792" s="5" t="n">
        <v>3882</v>
      </c>
      <c r="H792" s="5">
        <f>G792-F792</f>
        <v/>
      </c>
      <c r="I792" s="6">
        <f>H792/F792</f>
        <v/>
      </c>
      <c r="J792" s="3" t="inlineStr">
        <is>
          <t>Marcelo Fontes</t>
        </is>
      </c>
      <c r="K792" s="7" t="inlineStr">
        <is>
          <t>B03</t>
        </is>
      </c>
      <c r="L792" s="7">
        <f>IF(H792=0, "Correto", "Divergente")</f>
        <v/>
      </c>
    </row>
    <row r="793">
      <c r="A793" s="8" t="n">
        <v>792</v>
      </c>
      <c r="B793" s="8" t="n">
        <v>56</v>
      </c>
      <c r="C793" s="9" t="inlineStr">
        <is>
          <t>SSD NVMe 1TB M.2 (Modelo 12)</t>
        </is>
      </c>
      <c r="D793" s="9" t="inlineStr">
        <is>
          <t>Armazenamento</t>
        </is>
      </c>
      <c r="E793" s="10" t="inlineStr">
        <is>
          <t>2024-02-11</t>
        </is>
      </c>
      <c r="F793" s="11" t="n">
        <v>2124</v>
      </c>
      <c r="G793" s="11" t="n">
        <v>2294</v>
      </c>
      <c r="H793" s="11">
        <f>G793-F793</f>
        <v/>
      </c>
      <c r="I793" s="12">
        <f>H793/F793</f>
        <v/>
      </c>
      <c r="J793" s="9" t="inlineStr">
        <is>
          <t>Patricia Prado</t>
        </is>
      </c>
      <c r="K793" s="13" t="inlineStr">
        <is>
          <t>A03</t>
        </is>
      </c>
      <c r="L793" s="13">
        <f>IF(H793=0, "Correto", "Divergente")</f>
        <v/>
      </c>
    </row>
    <row r="794">
      <c r="A794" s="2" t="n">
        <v>793</v>
      </c>
      <c r="B794" s="2" t="n">
        <v>12</v>
      </c>
      <c r="C794" s="3" t="inlineStr">
        <is>
          <t>Combo Teclado e Mouse (Modelo 13)</t>
        </is>
      </c>
      <c r="D794" s="3" t="inlineStr">
        <is>
          <t>Periféricos</t>
        </is>
      </c>
      <c r="E794" s="4" t="inlineStr">
        <is>
          <t>2025-01-08</t>
        </is>
      </c>
      <c r="F794" s="5" t="n">
        <v>1117</v>
      </c>
      <c r="G794" s="5" t="n">
        <v>1155</v>
      </c>
      <c r="H794" s="5">
        <f>G794-F794</f>
        <v/>
      </c>
      <c r="I794" s="6">
        <f>H794/F794</f>
        <v/>
      </c>
      <c r="J794" s="3" t="inlineStr">
        <is>
          <t>Ricardo Mendes</t>
        </is>
      </c>
      <c r="K794" s="7" t="inlineStr">
        <is>
          <t>A02</t>
        </is>
      </c>
      <c r="L794" s="7">
        <f>IF(H794=0, "Correto", "Divergente")</f>
        <v/>
      </c>
    </row>
    <row r="795">
      <c r="A795" s="8" t="n">
        <v>794</v>
      </c>
      <c r="B795" s="8" t="n">
        <v>3</v>
      </c>
      <c r="C795" s="9" t="inlineStr">
        <is>
          <t>Monitor 27" Curvo 144Hz (Modelo 4)</t>
        </is>
      </c>
      <c r="D795" s="9" t="inlineStr">
        <is>
          <t>Monitores</t>
        </is>
      </c>
      <c r="E795" s="10" t="inlineStr">
        <is>
          <t>2025-02-03</t>
        </is>
      </c>
      <c r="F795" s="11" t="n">
        <v>2701</v>
      </c>
      <c r="G795" s="11" t="n">
        <v>2701</v>
      </c>
      <c r="H795" s="11">
        <f>G795-F795</f>
        <v/>
      </c>
      <c r="I795" s="12">
        <f>H795/F795</f>
        <v/>
      </c>
      <c r="J795" s="9" t="inlineStr">
        <is>
          <t>Carlos Eduardo Rocha</t>
        </is>
      </c>
      <c r="K795" s="13" t="inlineStr">
        <is>
          <t>B02</t>
        </is>
      </c>
      <c r="L795" s="13">
        <f>IF(H795=0, "Correto", "Divergente")</f>
        <v/>
      </c>
    </row>
    <row r="796">
      <c r="A796" s="2" t="n">
        <v>795</v>
      </c>
      <c r="B796" s="2" t="n">
        <v>52</v>
      </c>
      <c r="C796" s="3" t="inlineStr">
        <is>
          <t>Mouse Óptico USB (Modelo 8)</t>
        </is>
      </c>
      <c r="D796" s="3" t="inlineStr">
        <is>
          <t>Periféricos</t>
        </is>
      </c>
      <c r="E796" s="4" t="inlineStr">
        <is>
          <t>2025-12-22</t>
        </is>
      </c>
      <c r="F796" s="5" t="n">
        <v>2904</v>
      </c>
      <c r="G796" s="5" t="n">
        <v>2904</v>
      </c>
      <c r="H796" s="5">
        <f>G796-F796</f>
        <v/>
      </c>
      <c r="I796" s="6">
        <f>H796/F796</f>
        <v/>
      </c>
      <c r="J796" s="3" t="inlineStr">
        <is>
          <t>Fernanda Vasconcelos</t>
        </is>
      </c>
      <c r="K796" s="7" t="inlineStr">
        <is>
          <t>C03</t>
        </is>
      </c>
      <c r="L796" s="7">
        <f>IF(H796=0, "Correto", "Divergente")</f>
        <v/>
      </c>
    </row>
    <row r="797">
      <c r="A797" s="8" t="n">
        <v>796</v>
      </c>
      <c r="B797" s="8" t="n">
        <v>194</v>
      </c>
      <c r="C797" s="9" t="inlineStr">
        <is>
          <t>Multifuncional Tanque de Tinta (Modelo 15)</t>
        </is>
      </c>
      <c r="D797" s="9" t="inlineStr">
        <is>
          <t>Impressão</t>
        </is>
      </c>
      <c r="E797" s="10" t="inlineStr">
        <is>
          <t>2024-09-27</t>
        </is>
      </c>
      <c r="F797" s="11" t="n">
        <v>129</v>
      </c>
      <c r="G797" s="11" t="n">
        <v>129</v>
      </c>
      <c r="H797" s="11">
        <f>G797-F797</f>
        <v/>
      </c>
      <c r="I797" s="12">
        <f>H797/F797</f>
        <v/>
      </c>
      <c r="J797" s="9" t="inlineStr">
        <is>
          <t>Mariana Alcantara</t>
        </is>
      </c>
      <c r="K797" s="13" t="inlineStr">
        <is>
          <t>A02</t>
        </is>
      </c>
      <c r="L797" s="13">
        <f>IF(H797=0, "Correto", "Divergente")</f>
        <v/>
      </c>
    </row>
    <row r="798">
      <c r="A798" s="2" t="n">
        <v>797</v>
      </c>
      <c r="B798" s="2" t="n">
        <v>178</v>
      </c>
      <c r="C798" s="3" t="inlineStr">
        <is>
          <t>Access Point Wi-Fi Corporativo (Modelo 14)</t>
        </is>
      </c>
      <c r="D798" s="3" t="inlineStr">
        <is>
          <t>Redes</t>
        </is>
      </c>
      <c r="E798" s="4" t="inlineStr">
        <is>
          <t>2024-10-20</t>
        </is>
      </c>
      <c r="F798" s="5" t="n">
        <v>3027</v>
      </c>
      <c r="G798" s="5" t="n">
        <v>2615</v>
      </c>
      <c r="H798" s="5">
        <f>G798-F798</f>
        <v/>
      </c>
      <c r="I798" s="6">
        <f>H798/F798</f>
        <v/>
      </c>
      <c r="J798" s="3" t="inlineStr">
        <is>
          <t>Carlos Eduardo Rocha</t>
        </is>
      </c>
      <c r="K798" s="7" t="inlineStr">
        <is>
          <t>C01</t>
        </is>
      </c>
      <c r="L798" s="7">
        <f>IF(H798=0, "Correto", "Divergente")</f>
        <v/>
      </c>
    </row>
    <row r="799">
      <c r="A799" s="8" t="n">
        <v>798</v>
      </c>
      <c r="B799" s="8" t="n">
        <v>191</v>
      </c>
      <c r="C799" s="9" t="inlineStr">
        <is>
          <t>Chromebook 11.6" (Modelo 12)</t>
        </is>
      </c>
      <c r="D799" s="9" t="inlineStr">
        <is>
          <t>Informática</t>
        </is>
      </c>
      <c r="E799" s="10" t="inlineStr">
        <is>
          <t>2026-01-01</t>
        </is>
      </c>
      <c r="F799" s="11" t="n">
        <v>2032</v>
      </c>
      <c r="G799" s="11" t="n">
        <v>2032</v>
      </c>
      <c r="H799" s="11">
        <f>G799-F799</f>
        <v/>
      </c>
      <c r="I799" s="12">
        <f>H799/F799</f>
        <v/>
      </c>
      <c r="J799" s="9" t="inlineStr">
        <is>
          <t>Marcelo Fontes</t>
        </is>
      </c>
      <c r="K799" s="13" t="inlineStr">
        <is>
          <t>A03</t>
        </is>
      </c>
      <c r="L799" s="13">
        <f>IF(H799=0, "Correto", "Divergente")</f>
        <v/>
      </c>
    </row>
    <row r="800">
      <c r="A800" s="2" t="n">
        <v>799</v>
      </c>
      <c r="B800" s="2" t="n">
        <v>137</v>
      </c>
      <c r="C800" s="3" t="inlineStr">
        <is>
          <t>Capa Protetora para Tablet (Modelo 3)</t>
        </is>
      </c>
      <c r="D800" s="3" t="inlineStr">
        <is>
          <t>Smartphones</t>
        </is>
      </c>
      <c r="E800" s="4" t="inlineStr">
        <is>
          <t>2024-01-16</t>
        </is>
      </c>
      <c r="F800" s="5" t="n">
        <v>4208</v>
      </c>
      <c r="G800" s="5" t="n">
        <v>4208</v>
      </c>
      <c r="H800" s="5">
        <f>G800-F800</f>
        <v/>
      </c>
      <c r="I800" s="6">
        <f>H800/F800</f>
        <v/>
      </c>
      <c r="J800" s="3" t="inlineStr">
        <is>
          <t>Ricardo Mendes</t>
        </is>
      </c>
      <c r="K800" s="7" t="inlineStr">
        <is>
          <t>A03</t>
        </is>
      </c>
      <c r="L800" s="7">
        <f>IF(H800=0, "Correto", "Divergente")</f>
        <v/>
      </c>
    </row>
    <row r="801">
      <c r="A801" s="8" t="n">
        <v>800</v>
      </c>
      <c r="B801" s="8" t="n">
        <v>32</v>
      </c>
      <c r="C801" s="9" t="inlineStr">
        <is>
          <t>Mouse Sem Fio Bluetooth (Modelo 3)</t>
        </is>
      </c>
      <c r="D801" s="9" t="inlineStr">
        <is>
          <t>Periféricos</t>
        </is>
      </c>
      <c r="E801" s="10" t="inlineStr">
        <is>
          <t>2024-07-18</t>
        </is>
      </c>
      <c r="F801" s="11" t="n">
        <v>2997</v>
      </c>
      <c r="G801" s="11" t="n">
        <v>2997</v>
      </c>
      <c r="H801" s="11">
        <f>G801-F801</f>
        <v/>
      </c>
      <c r="I801" s="12">
        <f>H801/F801</f>
        <v/>
      </c>
      <c r="J801" s="9" t="inlineStr">
        <is>
          <t>Gustavo Silveira</t>
        </is>
      </c>
      <c r="K801" s="13" t="inlineStr">
        <is>
          <t>B01</t>
        </is>
      </c>
      <c r="L801" s="13">
        <f>IF(H801=0, "Correto", "Divergente")</f>
        <v/>
      </c>
    </row>
    <row r="802">
      <c r="A802" s="2" t="n">
        <v>801</v>
      </c>
      <c r="B802" s="2" t="n">
        <v>179</v>
      </c>
      <c r="C802" s="3" t="inlineStr">
        <is>
          <t>Nobreak 1200VA Bivolt (Modelo 15)</t>
        </is>
      </c>
      <c r="D802" s="3" t="inlineStr">
        <is>
          <t>Acessórios</t>
        </is>
      </c>
      <c r="E802" s="4" t="inlineStr">
        <is>
          <t>2025-10-03</t>
        </is>
      </c>
      <c r="F802" s="5" t="n">
        <v>1396</v>
      </c>
      <c r="G802" s="5" t="n">
        <v>1396</v>
      </c>
      <c r="H802" s="5">
        <f>G802-F802</f>
        <v/>
      </c>
      <c r="I802" s="6">
        <f>H802/F802</f>
        <v/>
      </c>
      <c r="J802" s="3" t="inlineStr">
        <is>
          <t>Fernanda Vasconcelos</t>
        </is>
      </c>
      <c r="K802" s="7" t="inlineStr">
        <is>
          <t>A02</t>
        </is>
      </c>
      <c r="L802" s="7">
        <f>IF(H802=0, "Correto", "Divergente")</f>
        <v/>
      </c>
    </row>
    <row r="803">
      <c r="A803" s="8" t="n">
        <v>802</v>
      </c>
      <c r="B803" s="8" t="n">
        <v>197</v>
      </c>
      <c r="C803" s="9" t="inlineStr">
        <is>
          <t>Capa Protetora para Tablet (Modelo 3)</t>
        </is>
      </c>
      <c r="D803" s="9" t="inlineStr">
        <is>
          <t>Smartphones</t>
        </is>
      </c>
      <c r="E803" s="10" t="inlineStr">
        <is>
          <t>2024-05-03</t>
        </is>
      </c>
      <c r="F803" s="11" t="n">
        <v>3277</v>
      </c>
      <c r="G803" s="11" t="n">
        <v>3277</v>
      </c>
      <c r="H803" s="11">
        <f>G803-F803</f>
        <v/>
      </c>
      <c r="I803" s="12">
        <f>H803/F803</f>
        <v/>
      </c>
      <c r="J803" s="9" t="inlineStr">
        <is>
          <t>Marcelo Fontes</t>
        </is>
      </c>
      <c r="K803" s="13" t="inlineStr">
        <is>
          <t>B02</t>
        </is>
      </c>
      <c r="L803" s="13">
        <f>IF(H803=0, "Correto", "Divergente")</f>
        <v/>
      </c>
    </row>
    <row r="804">
      <c r="A804" s="2" t="n">
        <v>803</v>
      </c>
      <c r="B804" s="2" t="n">
        <v>15</v>
      </c>
      <c r="C804" s="3" t="inlineStr">
        <is>
          <t>Caixa de Som USB 10W (Modelo 1)</t>
        </is>
      </c>
      <c r="D804" s="3" t="inlineStr">
        <is>
          <t>Áudio</t>
        </is>
      </c>
      <c r="E804" s="4" t="inlineStr">
        <is>
          <t>2026-08-28</t>
        </is>
      </c>
      <c r="F804" s="5" t="n">
        <v>1895</v>
      </c>
      <c r="G804" s="5" t="n">
        <v>1895</v>
      </c>
      <c r="H804" s="5">
        <f>G804-F804</f>
        <v/>
      </c>
      <c r="I804" s="6">
        <f>H804/F804</f>
        <v/>
      </c>
      <c r="J804" s="3" t="inlineStr">
        <is>
          <t>Roberto Fernandes</t>
        </is>
      </c>
      <c r="K804" s="7" t="inlineStr">
        <is>
          <t>A01</t>
        </is>
      </c>
      <c r="L804" s="7">
        <f>IF(H804=0, "Correto", "Divergente")</f>
        <v/>
      </c>
    </row>
    <row r="805">
      <c r="A805" s="8" t="n">
        <v>804</v>
      </c>
      <c r="B805" s="8" t="n">
        <v>102</v>
      </c>
      <c r="C805" s="9" t="inlineStr">
        <is>
          <t>Mouse Sem Fio Bluetooth (Modelo 13)</t>
        </is>
      </c>
      <c r="D805" s="9" t="inlineStr">
        <is>
          <t>Periféricos</t>
        </is>
      </c>
      <c r="E805" s="10" t="inlineStr">
        <is>
          <t>2024-07-13</t>
        </is>
      </c>
      <c r="F805" s="11" t="n">
        <v>3589</v>
      </c>
      <c r="G805" s="11" t="n">
        <v>3589</v>
      </c>
      <c r="H805" s="11">
        <f>G805-F805</f>
        <v/>
      </c>
      <c r="I805" s="12">
        <f>H805/F805</f>
        <v/>
      </c>
      <c r="J805" s="9" t="inlineStr">
        <is>
          <t>Patricia Prado</t>
        </is>
      </c>
      <c r="K805" s="13" t="inlineStr">
        <is>
          <t>B03</t>
        </is>
      </c>
      <c r="L805" s="13">
        <f>IF(H805=0, "Correto", "Divergente")</f>
        <v/>
      </c>
    </row>
    <row r="806">
      <c r="A806" s="2" t="n">
        <v>805</v>
      </c>
      <c r="B806" s="2" t="n">
        <v>47</v>
      </c>
      <c r="C806" s="3" t="inlineStr">
        <is>
          <t>Capa Protetora para Tablet (Modelo 3)</t>
        </is>
      </c>
      <c r="D806" s="3" t="inlineStr">
        <is>
          <t>Smartphones</t>
        </is>
      </c>
      <c r="E806" s="4" t="inlineStr">
        <is>
          <t>2026-01-24</t>
        </is>
      </c>
      <c r="F806" s="5" t="n">
        <v>4615</v>
      </c>
      <c r="G806" s="5" t="n">
        <v>4615</v>
      </c>
      <c r="H806" s="5">
        <f>G806-F806</f>
        <v/>
      </c>
      <c r="I806" s="6">
        <f>H806/F806</f>
        <v/>
      </c>
      <c r="J806" s="3" t="inlineStr">
        <is>
          <t>Mariana Alcantara</t>
        </is>
      </c>
      <c r="K806" s="7" t="inlineStr">
        <is>
          <t>C02</t>
        </is>
      </c>
      <c r="L806" s="7">
        <f>IF(H806=0, "Correto", "Divergente")</f>
        <v/>
      </c>
    </row>
    <row r="807">
      <c r="A807" s="8" t="n">
        <v>806</v>
      </c>
      <c r="B807" s="8" t="n">
        <v>169</v>
      </c>
      <c r="C807" s="9" t="inlineStr">
        <is>
          <t>Cabo HDMI 2.0 2 metros (Modelo 5)</t>
        </is>
      </c>
      <c r="D807" s="9" t="inlineStr">
        <is>
          <t>Acessórios</t>
        </is>
      </c>
      <c r="E807" s="10" t="inlineStr">
        <is>
          <t>2026-03-30</t>
        </is>
      </c>
      <c r="F807" s="11" t="n">
        <v>2211</v>
      </c>
      <c r="G807" s="11" t="n">
        <v>2211</v>
      </c>
      <c r="H807" s="11">
        <f>G807-F807</f>
        <v/>
      </c>
      <c r="I807" s="12">
        <f>H807/F807</f>
        <v/>
      </c>
      <c r="J807" s="9" t="inlineStr">
        <is>
          <t>Mariana Alcantara</t>
        </is>
      </c>
      <c r="K807" s="13" t="inlineStr">
        <is>
          <t>B03</t>
        </is>
      </c>
      <c r="L807" s="13">
        <f>IF(H807=0, "Correto", "Divergente")</f>
        <v/>
      </c>
    </row>
    <row r="808">
      <c r="A808" s="2" t="n">
        <v>807</v>
      </c>
      <c r="B808" s="2" t="n">
        <v>122</v>
      </c>
      <c r="C808" s="3" t="inlineStr">
        <is>
          <t>Mouse Óptico USB (Modelo 3)</t>
        </is>
      </c>
      <c r="D808" s="3" t="inlineStr">
        <is>
          <t>Periféricos</t>
        </is>
      </c>
      <c r="E808" s="4" t="inlineStr">
        <is>
          <t>2026-09-26</t>
        </is>
      </c>
      <c r="F808" s="5" t="n">
        <v>3083</v>
      </c>
      <c r="G808" s="5" t="n">
        <v>2978</v>
      </c>
      <c r="H808" s="5">
        <f>G808-F808</f>
        <v/>
      </c>
      <c r="I808" s="6">
        <f>H808/F808</f>
        <v/>
      </c>
      <c r="J808" s="3" t="inlineStr">
        <is>
          <t>Mariana Alcantara</t>
        </is>
      </c>
      <c r="K808" s="7" t="inlineStr">
        <is>
          <t>B03</t>
        </is>
      </c>
      <c r="L808" s="7">
        <f>IF(H808=0, "Correto", "Divergente")</f>
        <v/>
      </c>
    </row>
    <row r="809">
      <c r="A809" s="8" t="n">
        <v>808</v>
      </c>
      <c r="B809" s="8" t="n">
        <v>91</v>
      </c>
      <c r="C809" s="9" t="inlineStr">
        <is>
          <t>Desktop Core i5 8GB (Modelo 2)</t>
        </is>
      </c>
      <c r="D809" s="9" t="inlineStr">
        <is>
          <t>Informática</t>
        </is>
      </c>
      <c r="E809" s="10" t="inlineStr">
        <is>
          <t>2024-07-20</t>
        </is>
      </c>
      <c r="F809" s="11" t="n">
        <v>1216</v>
      </c>
      <c r="G809" s="11" t="n">
        <v>1204</v>
      </c>
      <c r="H809" s="11">
        <f>G809-F809</f>
        <v/>
      </c>
      <c r="I809" s="12">
        <f>H809/F809</f>
        <v/>
      </c>
      <c r="J809" s="9" t="inlineStr">
        <is>
          <t>Roberto Fernandes</t>
        </is>
      </c>
      <c r="K809" s="13" t="inlineStr">
        <is>
          <t>Depósito Externo</t>
        </is>
      </c>
      <c r="L809" s="13">
        <f>IF(H809=0, "Correto", "Divergente")</f>
        <v/>
      </c>
    </row>
    <row r="810">
      <c r="A810" s="2" t="n">
        <v>809</v>
      </c>
      <c r="B810" s="2" t="n">
        <v>67</v>
      </c>
      <c r="C810" s="3" t="inlineStr">
        <is>
          <t>Smartphone Empresarial 128GB (Modelo 8)</t>
        </is>
      </c>
      <c r="D810" s="3" t="inlineStr">
        <is>
          <t>Smartphones</t>
        </is>
      </c>
      <c r="E810" s="4" t="inlineStr">
        <is>
          <t>2026-04-14</t>
        </is>
      </c>
      <c r="F810" s="5" t="n">
        <v>2692</v>
      </c>
      <c r="G810" s="5" t="n">
        <v>2673</v>
      </c>
      <c r="H810" s="5">
        <f>G810-F810</f>
        <v/>
      </c>
      <c r="I810" s="6">
        <f>H810/F810</f>
        <v/>
      </c>
      <c r="J810" s="3" t="inlineStr">
        <is>
          <t>Marcelo Fontes</t>
        </is>
      </c>
      <c r="K810" s="7" t="inlineStr">
        <is>
          <t>C02</t>
        </is>
      </c>
      <c r="L810" s="7">
        <f>IF(H810=0, "Correto", "Divergente")</f>
        <v/>
      </c>
    </row>
    <row r="811">
      <c r="A811" s="8" t="n">
        <v>810</v>
      </c>
      <c r="B811" s="8" t="n">
        <v>155</v>
      </c>
      <c r="C811" s="9" t="inlineStr">
        <is>
          <t>Caixa de Som Bluetooth Portátil (Modelo 6)</t>
        </is>
      </c>
      <c r="D811" s="9" t="inlineStr">
        <is>
          <t>Áudio</t>
        </is>
      </c>
      <c r="E811" s="10" t="inlineStr">
        <is>
          <t>2025-12-05</t>
        </is>
      </c>
      <c r="F811" s="11" t="n">
        <v>1076</v>
      </c>
      <c r="G811" s="11" t="n">
        <v>1076</v>
      </c>
      <c r="H811" s="11">
        <f>G811-F811</f>
        <v/>
      </c>
      <c r="I811" s="12">
        <f>H811/F811</f>
        <v/>
      </c>
      <c r="J811" s="9" t="inlineStr">
        <is>
          <t>Carlos Eduardo Rocha</t>
        </is>
      </c>
      <c r="K811" s="13" t="inlineStr">
        <is>
          <t>C02</t>
        </is>
      </c>
      <c r="L811" s="13">
        <f>IF(H811=0, "Correto", "Divergente")</f>
        <v/>
      </c>
    </row>
    <row r="812">
      <c r="A812" s="2" t="n">
        <v>811</v>
      </c>
      <c r="B812" s="2" t="n">
        <v>114</v>
      </c>
      <c r="C812" s="3" t="inlineStr">
        <is>
          <t>Cartucho Colorido Premium (Modelo 10)</t>
        </is>
      </c>
      <c r="D812" s="3" t="inlineStr">
        <is>
          <t>Impressão</t>
        </is>
      </c>
      <c r="E812" s="4" t="inlineStr">
        <is>
          <t>2026-09-17</t>
        </is>
      </c>
      <c r="F812" s="5" t="n">
        <v>3861</v>
      </c>
      <c r="G812" s="5" t="n">
        <v>4421</v>
      </c>
      <c r="H812" s="5">
        <f>G812-F812</f>
        <v/>
      </c>
      <c r="I812" s="6">
        <f>H812/F812</f>
        <v/>
      </c>
      <c r="J812" s="3" t="inlineStr">
        <is>
          <t>Marcelo Fontes</t>
        </is>
      </c>
      <c r="K812" s="7" t="inlineStr">
        <is>
          <t>B02</t>
        </is>
      </c>
      <c r="L812" s="7">
        <f>IF(H812=0, "Correto", "Divergente")</f>
        <v/>
      </c>
    </row>
    <row r="813">
      <c r="A813" s="8" t="n">
        <v>812</v>
      </c>
      <c r="B813" s="8" t="n">
        <v>40</v>
      </c>
      <c r="C813" s="9" t="inlineStr">
        <is>
          <t>Fonte Atx 500W 80 Plus (Modelo 11)</t>
        </is>
      </c>
      <c r="D813" s="9" t="inlineStr">
        <is>
          <t>Componentes</t>
        </is>
      </c>
      <c r="E813" s="10" t="inlineStr">
        <is>
          <t>2024-04-27</t>
        </is>
      </c>
      <c r="F813" s="11" t="n">
        <v>3240</v>
      </c>
      <c r="G813" s="11" t="n">
        <v>3240</v>
      </c>
      <c r="H813" s="11">
        <f>G813-F813</f>
        <v/>
      </c>
      <c r="I813" s="12">
        <f>H813/F813</f>
        <v/>
      </c>
      <c r="J813" s="9" t="inlineStr">
        <is>
          <t>Beatriz Castilho</t>
        </is>
      </c>
      <c r="K813" s="13" t="inlineStr">
        <is>
          <t>B01</t>
        </is>
      </c>
      <c r="L813" s="13">
        <f>IF(H813=0, "Correto", "Divergente")</f>
        <v/>
      </c>
    </row>
    <row r="814">
      <c r="A814" s="2" t="n">
        <v>813</v>
      </c>
      <c r="B814" s="2" t="n">
        <v>65</v>
      </c>
      <c r="C814" s="3" t="inlineStr">
        <is>
          <t>Caixa de Som Bluetooth Portátil (Modelo 6)</t>
        </is>
      </c>
      <c r="D814" s="3" t="inlineStr">
        <is>
          <t>Áudio</t>
        </is>
      </c>
      <c r="E814" s="4" t="inlineStr">
        <is>
          <t>2025-11-22</t>
        </is>
      </c>
      <c r="F814" s="5" t="n">
        <v>2184</v>
      </c>
      <c r="G814" s="5" t="n">
        <v>2184</v>
      </c>
      <c r="H814" s="5">
        <f>G814-F814</f>
        <v/>
      </c>
      <c r="I814" s="6">
        <f>H814/F814</f>
        <v/>
      </c>
      <c r="J814" s="3" t="inlineStr">
        <is>
          <t>Mariana Alcantara</t>
        </is>
      </c>
      <c r="K814" s="7" t="inlineStr">
        <is>
          <t>A02</t>
        </is>
      </c>
      <c r="L814" s="7">
        <f>IF(H814=0, "Correto", "Divergente")</f>
        <v/>
      </c>
    </row>
    <row r="815">
      <c r="A815" s="8" t="n">
        <v>814</v>
      </c>
      <c r="B815" s="8" t="n">
        <v>164</v>
      </c>
      <c r="C815" s="9" t="inlineStr">
        <is>
          <t>Multifuncional Tanque de Tinta (Modelo 15)</t>
        </is>
      </c>
      <c r="D815" s="9" t="inlineStr">
        <is>
          <t>Impressão</t>
        </is>
      </c>
      <c r="E815" s="10" t="inlineStr">
        <is>
          <t>2024-05-30</t>
        </is>
      </c>
      <c r="F815" s="11" t="n">
        <v>1397</v>
      </c>
      <c r="G815" s="11" t="n">
        <v>1397</v>
      </c>
      <c r="H815" s="11">
        <f>G815-F815</f>
        <v/>
      </c>
      <c r="I815" s="12">
        <f>H815/F815</f>
        <v/>
      </c>
      <c r="J815" s="9" t="inlineStr">
        <is>
          <t>Patricia Prado</t>
        </is>
      </c>
      <c r="K815" s="13" t="inlineStr">
        <is>
          <t>B01</t>
        </is>
      </c>
      <c r="L815" s="13">
        <f>IF(H815=0, "Correto", "Divergente")</f>
        <v/>
      </c>
    </row>
    <row r="816">
      <c r="A816" s="2" t="n">
        <v>815</v>
      </c>
      <c r="B816" s="2" t="n">
        <v>97</v>
      </c>
      <c r="C816" s="3" t="inlineStr">
        <is>
          <t>Smartphone Empresarial 128GB (Modelo 8)</t>
        </is>
      </c>
      <c r="D816" s="3" t="inlineStr">
        <is>
          <t>Smartphones</t>
        </is>
      </c>
      <c r="E816" s="4" t="inlineStr">
        <is>
          <t>2024-01-16</t>
        </is>
      </c>
      <c r="F816" s="5" t="n">
        <v>3643</v>
      </c>
      <c r="G816" s="5" t="n">
        <v>3643</v>
      </c>
      <c r="H816" s="5">
        <f>G816-F816</f>
        <v/>
      </c>
      <c r="I816" s="6">
        <f>H816/F816</f>
        <v/>
      </c>
      <c r="J816" s="3" t="inlineStr">
        <is>
          <t>Beatriz Castilho</t>
        </is>
      </c>
      <c r="K816" s="7" t="inlineStr">
        <is>
          <t>B02</t>
        </is>
      </c>
      <c r="L816" s="7">
        <f>IF(H816=0, "Correto", "Divergente")</f>
        <v/>
      </c>
    </row>
    <row r="817">
      <c r="A817" s="8" t="n">
        <v>816</v>
      </c>
      <c r="B817" s="8" t="n">
        <v>48</v>
      </c>
      <c r="C817" s="9" t="inlineStr">
        <is>
          <t>Repetidor Wi-Fi 1200Mbps (Modelo 4)</t>
        </is>
      </c>
      <c r="D817" s="9" t="inlineStr">
        <is>
          <t>Redes</t>
        </is>
      </c>
      <c r="E817" s="10" t="inlineStr">
        <is>
          <t>2024-07-01</t>
        </is>
      </c>
      <c r="F817" s="11" t="n">
        <v>1200</v>
      </c>
      <c r="G817" s="11" t="n">
        <v>1200</v>
      </c>
      <c r="H817" s="11">
        <f>G817-F817</f>
        <v/>
      </c>
      <c r="I817" s="12">
        <f>H817/F817</f>
        <v/>
      </c>
      <c r="J817" s="9" t="inlineStr">
        <is>
          <t>Carlos Eduardo Rocha</t>
        </is>
      </c>
      <c r="K817" s="13" t="inlineStr">
        <is>
          <t>C03</t>
        </is>
      </c>
      <c r="L817" s="13">
        <f>IF(H817=0, "Correto", "Divergente")</f>
        <v/>
      </c>
    </row>
    <row r="818">
      <c r="A818" s="2" t="n">
        <v>817</v>
      </c>
      <c r="B818" s="2" t="n">
        <v>53</v>
      </c>
      <c r="C818" s="3" t="inlineStr">
        <is>
          <t>Monitor 4K 32" Profissional (Modelo 9)</t>
        </is>
      </c>
      <c r="D818" s="3" t="inlineStr">
        <is>
          <t>Monitores</t>
        </is>
      </c>
      <c r="E818" s="4" t="inlineStr">
        <is>
          <t>2025-03-02</t>
        </is>
      </c>
      <c r="F818" s="5" t="n">
        <v>1932</v>
      </c>
      <c r="G818" s="5" t="n">
        <v>1881</v>
      </c>
      <c r="H818" s="5">
        <f>G818-F818</f>
        <v/>
      </c>
      <c r="I818" s="6">
        <f>H818/F818</f>
        <v/>
      </c>
      <c r="J818" s="3" t="inlineStr">
        <is>
          <t>Mariana Alcantara</t>
        </is>
      </c>
      <c r="K818" s="7" t="inlineStr">
        <is>
          <t>Depósito Externo</t>
        </is>
      </c>
      <c r="L818" s="7">
        <f>IF(H818=0, "Correto", "Divergente")</f>
        <v/>
      </c>
    </row>
    <row r="819">
      <c r="A819" s="8" t="n">
        <v>818</v>
      </c>
      <c r="B819" s="8" t="n">
        <v>197</v>
      </c>
      <c r="C819" s="9" t="inlineStr">
        <is>
          <t>Capa Protetora para Tablet (Modelo 3)</t>
        </is>
      </c>
      <c r="D819" s="9" t="inlineStr">
        <is>
          <t>Smartphones</t>
        </is>
      </c>
      <c r="E819" s="10" t="inlineStr">
        <is>
          <t>2026-02-14</t>
        </is>
      </c>
      <c r="F819" s="11" t="n">
        <v>3909</v>
      </c>
      <c r="G819" s="11" t="n">
        <v>3909</v>
      </c>
      <c r="H819" s="11">
        <f>G819-F819</f>
        <v/>
      </c>
      <c r="I819" s="12">
        <f>H819/F819</f>
        <v/>
      </c>
      <c r="J819" s="9" t="inlineStr">
        <is>
          <t>Ricardo Mendes</t>
        </is>
      </c>
      <c r="K819" s="13" t="inlineStr">
        <is>
          <t>B02</t>
        </is>
      </c>
      <c r="L819" s="13">
        <f>IF(H819=0, "Correto", "Divergente")</f>
        <v/>
      </c>
    </row>
    <row r="820">
      <c r="A820" s="2" t="n">
        <v>819</v>
      </c>
      <c r="B820" s="2" t="n">
        <v>11</v>
      </c>
      <c r="C820" s="3" t="inlineStr">
        <is>
          <t>Desktop Core i5 8GB (Modelo 12)</t>
        </is>
      </c>
      <c r="D820" s="3" t="inlineStr">
        <is>
          <t>Informática</t>
        </is>
      </c>
      <c r="E820" s="4" t="inlineStr">
        <is>
          <t>2024-07-12</t>
        </is>
      </c>
      <c r="F820" s="5" t="n">
        <v>4428</v>
      </c>
      <c r="G820" s="5" t="n">
        <v>4428</v>
      </c>
      <c r="H820" s="5">
        <f>G820-F820</f>
        <v/>
      </c>
      <c r="I820" s="6">
        <f>H820/F820</f>
        <v/>
      </c>
      <c r="J820" s="3" t="inlineStr">
        <is>
          <t>Beatriz Castilho</t>
        </is>
      </c>
      <c r="K820" s="7" t="inlineStr">
        <is>
          <t>Depósito Externo</t>
        </is>
      </c>
      <c r="L820" s="7">
        <f>IF(H820=0, "Correto", "Divergente")</f>
        <v/>
      </c>
    </row>
    <row r="821">
      <c r="A821" s="8" t="n">
        <v>820</v>
      </c>
      <c r="B821" s="8" t="n">
        <v>127</v>
      </c>
      <c r="C821" s="9" t="inlineStr">
        <is>
          <t>Smartphone Empresarial 128GB (Modelo 8)</t>
        </is>
      </c>
      <c r="D821" s="9" t="inlineStr">
        <is>
          <t>Smartphones</t>
        </is>
      </c>
      <c r="E821" s="10" t="inlineStr">
        <is>
          <t>2024-02-15</t>
        </is>
      </c>
      <c r="F821" s="11" t="n">
        <v>1360</v>
      </c>
      <c r="G821" s="11" t="n">
        <v>1362</v>
      </c>
      <c r="H821" s="11">
        <f>G821-F821</f>
        <v/>
      </c>
      <c r="I821" s="12">
        <f>H821/F821</f>
        <v/>
      </c>
      <c r="J821" s="9" t="inlineStr">
        <is>
          <t>Carlos Eduardo Rocha</t>
        </is>
      </c>
      <c r="K821" s="13" t="inlineStr">
        <is>
          <t>A01</t>
        </is>
      </c>
      <c r="L821" s="13">
        <f>IF(H821=0, "Correto", "Divergente")</f>
        <v/>
      </c>
    </row>
    <row r="822">
      <c r="A822" s="2" t="n">
        <v>821</v>
      </c>
      <c r="B822" s="2" t="n">
        <v>167</v>
      </c>
      <c r="C822" s="3" t="inlineStr">
        <is>
          <t>Capa Protetora para Tablet (Modelo 3)</t>
        </is>
      </c>
      <c r="D822" s="3" t="inlineStr">
        <is>
          <t>Smartphones</t>
        </is>
      </c>
      <c r="E822" s="4" t="inlineStr">
        <is>
          <t>2025-08-08</t>
        </is>
      </c>
      <c r="F822" s="5" t="n">
        <v>4776</v>
      </c>
      <c r="G822" s="5" t="n">
        <v>4776</v>
      </c>
      <c r="H822" s="5">
        <f>G822-F822</f>
        <v/>
      </c>
      <c r="I822" s="6">
        <f>H822/F822</f>
        <v/>
      </c>
      <c r="J822" s="3" t="inlineStr">
        <is>
          <t>Fernanda Vasconcelos</t>
        </is>
      </c>
      <c r="K822" s="7" t="inlineStr">
        <is>
          <t>C03</t>
        </is>
      </c>
      <c r="L822" s="7">
        <f>IF(H822=0, "Correto", "Divergente")</f>
        <v/>
      </c>
    </row>
    <row r="823">
      <c r="A823" s="8" t="n">
        <v>822</v>
      </c>
      <c r="B823" s="8" t="n">
        <v>186</v>
      </c>
      <c r="C823" s="9" t="inlineStr">
        <is>
          <t>Cartão de Memória MicroSD 128GB (Modelo 7)</t>
        </is>
      </c>
      <c r="D823" s="9" t="inlineStr">
        <is>
          <t>Armazenamento</t>
        </is>
      </c>
      <c r="E823" s="10" t="inlineStr">
        <is>
          <t>2026-11-08</t>
        </is>
      </c>
      <c r="F823" s="11" t="n">
        <v>3817</v>
      </c>
      <c r="G823" s="11" t="n">
        <v>4133</v>
      </c>
      <c r="H823" s="11">
        <f>G823-F823</f>
        <v/>
      </c>
      <c r="I823" s="12">
        <f>H823/F823</f>
        <v/>
      </c>
      <c r="J823" s="9" t="inlineStr">
        <is>
          <t>Patricia Prado</t>
        </is>
      </c>
      <c r="K823" s="13" t="inlineStr">
        <is>
          <t>C01</t>
        </is>
      </c>
      <c r="L823" s="13">
        <f>IF(H823=0, "Correto", "Divergente")</f>
        <v/>
      </c>
    </row>
    <row r="824">
      <c r="A824" s="2" t="n">
        <v>823</v>
      </c>
      <c r="B824" s="2" t="n">
        <v>59</v>
      </c>
      <c r="C824" s="3" t="inlineStr">
        <is>
          <t>Filtro de Linha 6 Tomadas (Modelo 15)</t>
        </is>
      </c>
      <c r="D824" s="3" t="inlineStr">
        <is>
          <t>Acessórios</t>
        </is>
      </c>
      <c r="E824" s="4" t="inlineStr">
        <is>
          <t>2025-08-14</t>
        </is>
      </c>
      <c r="F824" s="5" t="n">
        <v>490</v>
      </c>
      <c r="G824" s="5" t="n">
        <v>490</v>
      </c>
      <c r="H824" s="5">
        <f>G824-F824</f>
        <v/>
      </c>
      <c r="I824" s="6">
        <f>H824/F824</f>
        <v/>
      </c>
      <c r="J824" s="3" t="inlineStr">
        <is>
          <t>Mariana Alcantara</t>
        </is>
      </c>
      <c r="K824" s="7" t="inlineStr">
        <is>
          <t>C01</t>
        </is>
      </c>
      <c r="L824" s="7">
        <f>IF(H824=0, "Correto", "Divergente")</f>
        <v/>
      </c>
    </row>
    <row r="825">
      <c r="A825" s="8" t="n">
        <v>824</v>
      </c>
      <c r="B825" s="8" t="n">
        <v>71</v>
      </c>
      <c r="C825" s="9" t="inlineStr">
        <is>
          <t>Chromebook 11.6" (Modelo 12)</t>
        </is>
      </c>
      <c r="D825" s="9" t="inlineStr">
        <is>
          <t>Informática</t>
        </is>
      </c>
      <c r="E825" s="10" t="inlineStr">
        <is>
          <t>2026-08-08</t>
        </is>
      </c>
      <c r="F825" s="11" t="n">
        <v>1026</v>
      </c>
      <c r="G825" s="11" t="n">
        <v>1026</v>
      </c>
      <c r="H825" s="11">
        <f>G825-F825</f>
        <v/>
      </c>
      <c r="I825" s="12">
        <f>H825/F825</f>
        <v/>
      </c>
      <c r="J825" s="9" t="inlineStr">
        <is>
          <t>Patricia Prado</t>
        </is>
      </c>
      <c r="K825" s="13" t="inlineStr">
        <is>
          <t>Depósito Externo</t>
        </is>
      </c>
      <c r="L825" s="13">
        <f>IF(H825=0, "Correto", "Divergente")</f>
        <v/>
      </c>
    </row>
    <row r="826">
      <c r="A826" s="2" t="n">
        <v>825</v>
      </c>
      <c r="B826" s="2" t="n">
        <v>6</v>
      </c>
      <c r="C826" s="3" t="inlineStr">
        <is>
          <t>Cartão de Memória MicroSD 128GB (Modelo 7)</t>
        </is>
      </c>
      <c r="D826" s="3" t="inlineStr">
        <is>
          <t>Armazenamento</t>
        </is>
      </c>
      <c r="E826" s="4" t="inlineStr">
        <is>
          <t>2024-04-11</t>
        </is>
      </c>
      <c r="F826" s="5" t="n">
        <v>2935</v>
      </c>
      <c r="G826" s="5" t="n">
        <v>2935</v>
      </c>
      <c r="H826" s="5">
        <f>G826-F826</f>
        <v/>
      </c>
      <c r="I826" s="6">
        <f>H826/F826</f>
        <v/>
      </c>
      <c r="J826" s="3" t="inlineStr">
        <is>
          <t>Beatriz Castilho</t>
        </is>
      </c>
      <c r="K826" s="7" t="inlineStr">
        <is>
          <t>C01</t>
        </is>
      </c>
      <c r="L826" s="7">
        <f>IF(H826=0, "Correto", "Divergente")</f>
        <v/>
      </c>
    </row>
    <row r="827">
      <c r="A827" s="8" t="n">
        <v>826</v>
      </c>
      <c r="B827" s="8" t="n">
        <v>87</v>
      </c>
      <c r="C827" s="9" t="inlineStr">
        <is>
          <t>Tablet 10.1" Wi-Fi 64GB (Modelo 13)</t>
        </is>
      </c>
      <c r="D827" s="9" t="inlineStr">
        <is>
          <t>Smartphones</t>
        </is>
      </c>
      <c r="E827" s="10" t="inlineStr">
        <is>
          <t>2026-07-11</t>
        </is>
      </c>
      <c r="F827" s="11" t="n">
        <v>129</v>
      </c>
      <c r="G827" s="11" t="n">
        <v>129</v>
      </c>
      <c r="H827" s="11">
        <f>G827-F827</f>
        <v/>
      </c>
      <c r="I827" s="12">
        <f>H827/F827</f>
        <v/>
      </c>
      <c r="J827" s="9" t="inlineStr">
        <is>
          <t>Roberto Fernandes</t>
        </is>
      </c>
      <c r="K827" s="13" t="inlineStr">
        <is>
          <t>Depósito Externo</t>
        </is>
      </c>
      <c r="L827" s="13">
        <f>IF(H827=0, "Correto", "Divergente")</f>
        <v/>
      </c>
    </row>
    <row r="828">
      <c r="A828" s="2" t="n">
        <v>827</v>
      </c>
      <c r="B828" s="2" t="n">
        <v>85</v>
      </c>
      <c r="C828" s="3" t="inlineStr">
        <is>
          <t>Headset USB com Cancelamento de Ruído (Modelo 11)</t>
        </is>
      </c>
      <c r="D828" s="3" t="inlineStr">
        <is>
          <t>Áudio</t>
        </is>
      </c>
      <c r="E828" s="4" t="inlineStr">
        <is>
          <t>2025-09-12</t>
        </is>
      </c>
      <c r="F828" s="5" t="n">
        <v>985</v>
      </c>
      <c r="G828" s="5" t="n">
        <v>985</v>
      </c>
      <c r="H828" s="5">
        <f>G828-F828</f>
        <v/>
      </c>
      <c r="I828" s="6">
        <f>H828/F828</f>
        <v/>
      </c>
      <c r="J828" s="3" t="inlineStr">
        <is>
          <t>Beatriz Castilho</t>
        </is>
      </c>
      <c r="K828" s="7" t="inlineStr">
        <is>
          <t>B01</t>
        </is>
      </c>
      <c r="L828" s="7">
        <f>IF(H828=0, "Correto", "Divergente")</f>
        <v/>
      </c>
    </row>
    <row r="829">
      <c r="A829" s="8" t="n">
        <v>828</v>
      </c>
      <c r="B829" s="8" t="n">
        <v>166</v>
      </c>
      <c r="C829" s="9" t="inlineStr">
        <is>
          <t>HD Externo Portátil 2TB (Modelo 2)</t>
        </is>
      </c>
      <c r="D829" s="9" t="inlineStr">
        <is>
          <t>Armazenamento</t>
        </is>
      </c>
      <c r="E829" s="10" t="inlineStr">
        <is>
          <t>2026-07-18</t>
        </is>
      </c>
      <c r="F829" s="11" t="n">
        <v>2147</v>
      </c>
      <c r="G829" s="11" t="n">
        <v>2147</v>
      </c>
      <c r="H829" s="11">
        <f>G829-F829</f>
        <v/>
      </c>
      <c r="I829" s="12">
        <f>H829/F829</f>
        <v/>
      </c>
      <c r="J829" s="9" t="inlineStr">
        <is>
          <t>Marcelo Fontes</t>
        </is>
      </c>
      <c r="K829" s="13" t="inlineStr">
        <is>
          <t>B01</t>
        </is>
      </c>
      <c r="L829" s="13">
        <f>IF(H829=0, "Correto", "Divergente")</f>
        <v/>
      </c>
    </row>
    <row r="830">
      <c r="A830" s="2" t="n">
        <v>829</v>
      </c>
      <c r="B830" s="2" t="n">
        <v>122</v>
      </c>
      <c r="C830" s="3" t="inlineStr">
        <is>
          <t>Mouse Óptico USB (Modelo 3)</t>
        </is>
      </c>
      <c r="D830" s="3" t="inlineStr">
        <is>
          <t>Periféricos</t>
        </is>
      </c>
      <c r="E830" s="4" t="inlineStr">
        <is>
          <t>2024-06-14</t>
        </is>
      </c>
      <c r="F830" s="5" t="n">
        <v>288</v>
      </c>
      <c r="G830" s="5" t="n">
        <v>288</v>
      </c>
      <c r="H830" s="5">
        <f>G830-F830</f>
        <v/>
      </c>
      <c r="I830" s="6">
        <f>H830/F830</f>
        <v/>
      </c>
      <c r="J830" s="3" t="inlineStr">
        <is>
          <t>Camila Azevedo</t>
        </is>
      </c>
      <c r="K830" s="7" t="inlineStr">
        <is>
          <t>B01</t>
        </is>
      </c>
      <c r="L830" s="7">
        <f>IF(H830=0, "Correto", "Divergente")</f>
        <v/>
      </c>
    </row>
    <row r="831">
      <c r="A831" s="8" t="n">
        <v>830</v>
      </c>
      <c r="B831" s="8" t="n">
        <v>47</v>
      </c>
      <c r="C831" s="9" t="inlineStr">
        <is>
          <t>Capa Protetora para Tablet (Modelo 3)</t>
        </is>
      </c>
      <c r="D831" s="9" t="inlineStr">
        <is>
          <t>Smartphones</t>
        </is>
      </c>
      <c r="E831" s="10" t="inlineStr">
        <is>
          <t>2024-02-20</t>
        </is>
      </c>
      <c r="F831" s="11" t="n">
        <v>4080</v>
      </c>
      <c r="G831" s="11" t="n">
        <v>4080</v>
      </c>
      <c r="H831" s="11">
        <f>G831-F831</f>
        <v/>
      </c>
      <c r="I831" s="12">
        <f>H831/F831</f>
        <v/>
      </c>
      <c r="J831" s="9" t="inlineStr">
        <is>
          <t>Mariana Alcantara</t>
        </is>
      </c>
      <c r="K831" s="13" t="inlineStr">
        <is>
          <t>C01</t>
        </is>
      </c>
      <c r="L831" s="13">
        <f>IF(H831=0, "Correto", "Divergente")</f>
        <v/>
      </c>
    </row>
    <row r="832">
      <c r="A832" s="2" t="n">
        <v>831</v>
      </c>
      <c r="B832" s="2" t="n">
        <v>101</v>
      </c>
      <c r="C832" s="3" t="inlineStr">
        <is>
          <t>Mini PC Ryzen 5 (Modelo 12)</t>
        </is>
      </c>
      <c r="D832" s="3" t="inlineStr">
        <is>
          <t>Informática</t>
        </is>
      </c>
      <c r="E832" s="4" t="inlineStr">
        <is>
          <t>2025-05-31</t>
        </is>
      </c>
      <c r="F832" s="5" t="n">
        <v>2136</v>
      </c>
      <c r="G832" s="5" t="n">
        <v>2136</v>
      </c>
      <c r="H832" s="5">
        <f>G832-F832</f>
        <v/>
      </c>
      <c r="I832" s="6">
        <f>H832/F832</f>
        <v/>
      </c>
      <c r="J832" s="3" t="inlineStr">
        <is>
          <t>Gustavo Silveira</t>
        </is>
      </c>
      <c r="K832" s="7" t="inlineStr">
        <is>
          <t>C01</t>
        </is>
      </c>
      <c r="L832" s="7">
        <f>IF(H832=0, "Correto", "Divergente")</f>
        <v/>
      </c>
    </row>
    <row r="833">
      <c r="A833" s="8" t="n">
        <v>832</v>
      </c>
      <c r="B833" s="8" t="n">
        <v>8</v>
      </c>
      <c r="C833" s="9" t="inlineStr">
        <is>
          <t>Switch Gigabit 16 Portas (Modelo 9)</t>
        </is>
      </c>
      <c r="D833" s="9" t="inlineStr">
        <is>
          <t>Redes</t>
        </is>
      </c>
      <c r="E833" s="10" t="inlineStr">
        <is>
          <t>2025-02-19</t>
        </is>
      </c>
      <c r="F833" s="11" t="n">
        <v>4919</v>
      </c>
      <c r="G833" s="11" t="n">
        <v>4919</v>
      </c>
      <c r="H833" s="11">
        <f>G833-F833</f>
        <v/>
      </c>
      <c r="I833" s="12">
        <f>H833/F833</f>
        <v/>
      </c>
      <c r="J833" s="9" t="inlineStr">
        <is>
          <t>Carlos Eduardo Rocha</t>
        </is>
      </c>
      <c r="K833" s="13" t="inlineStr">
        <is>
          <t>C01</t>
        </is>
      </c>
      <c r="L833" s="13">
        <f>IF(H833=0, "Correto", "Divergente")</f>
        <v/>
      </c>
    </row>
    <row r="834">
      <c r="A834" s="2" t="n">
        <v>833</v>
      </c>
      <c r="B834" s="2" t="n">
        <v>5</v>
      </c>
      <c r="C834" s="3" t="inlineStr">
        <is>
          <t>Caixa de Som Bluetooth Portátil (Modelo 6)</t>
        </is>
      </c>
      <c r="D834" s="3" t="inlineStr">
        <is>
          <t>Áudio</t>
        </is>
      </c>
      <c r="E834" s="4" t="inlineStr">
        <is>
          <t>2024-01-26</t>
        </is>
      </c>
      <c r="F834" s="5" t="n">
        <v>2060</v>
      </c>
      <c r="G834" s="5" t="n">
        <v>2060</v>
      </c>
      <c r="H834" s="5">
        <f>G834-F834</f>
        <v/>
      </c>
      <c r="I834" s="6">
        <f>H834/F834</f>
        <v/>
      </c>
      <c r="J834" s="3" t="inlineStr">
        <is>
          <t>Mariana Alcantara</t>
        </is>
      </c>
      <c r="K834" s="7" t="inlineStr">
        <is>
          <t>Depósito Externo</t>
        </is>
      </c>
      <c r="L834" s="7">
        <f>IF(H834=0, "Correto", "Divergente")</f>
        <v/>
      </c>
    </row>
    <row r="835">
      <c r="A835" s="8" t="n">
        <v>834</v>
      </c>
      <c r="B835" s="8" t="n">
        <v>59</v>
      </c>
      <c r="C835" s="9" t="inlineStr">
        <is>
          <t>Filtro de Linha 6 Tomadas (Modelo 15)</t>
        </is>
      </c>
      <c r="D835" s="9" t="inlineStr">
        <is>
          <t>Acessórios</t>
        </is>
      </c>
      <c r="E835" s="10" t="inlineStr">
        <is>
          <t>2024-09-28</t>
        </is>
      </c>
      <c r="F835" s="11" t="n">
        <v>2597</v>
      </c>
      <c r="G835" s="11" t="n">
        <v>2597</v>
      </c>
      <c r="H835" s="11">
        <f>G835-F835</f>
        <v/>
      </c>
      <c r="I835" s="12">
        <f>H835/F835</f>
        <v/>
      </c>
      <c r="J835" s="9" t="inlineStr">
        <is>
          <t>Marcelo Fontes</t>
        </is>
      </c>
      <c r="K835" s="13" t="inlineStr">
        <is>
          <t>A03</t>
        </is>
      </c>
      <c r="L835" s="13">
        <f>IF(H835=0, "Correto", "Divergente")</f>
        <v/>
      </c>
    </row>
    <row r="836">
      <c r="A836" s="2" t="n">
        <v>835</v>
      </c>
      <c r="B836" s="2" t="n">
        <v>128</v>
      </c>
      <c r="C836" s="3" t="inlineStr">
        <is>
          <t>Switch Gigabit 16 Portas (Modelo 9)</t>
        </is>
      </c>
      <c r="D836" s="3" t="inlineStr">
        <is>
          <t>Redes</t>
        </is>
      </c>
      <c r="E836" s="4" t="inlineStr">
        <is>
          <t>2025-10-22</t>
        </is>
      </c>
      <c r="F836" s="5" t="n">
        <v>4242</v>
      </c>
      <c r="G836" s="5" t="n">
        <v>4242</v>
      </c>
      <c r="H836" s="5">
        <f>G836-F836</f>
        <v/>
      </c>
      <c r="I836" s="6">
        <f>H836/F836</f>
        <v/>
      </c>
      <c r="J836" s="3" t="inlineStr">
        <is>
          <t>Ricardo Mendes</t>
        </is>
      </c>
      <c r="K836" s="7" t="inlineStr">
        <is>
          <t>C02</t>
        </is>
      </c>
      <c r="L836" s="7">
        <f>IF(H836=0, "Correto", "Divergente")</f>
        <v/>
      </c>
    </row>
    <row r="837">
      <c r="A837" s="8" t="n">
        <v>836</v>
      </c>
      <c r="B837" s="8" t="n">
        <v>187</v>
      </c>
      <c r="C837" s="9" t="inlineStr">
        <is>
          <t>Smartphone Empresarial 128GB (Modelo 8)</t>
        </is>
      </c>
      <c r="D837" s="9" t="inlineStr">
        <is>
          <t>Smartphones</t>
        </is>
      </c>
      <c r="E837" s="10" t="inlineStr">
        <is>
          <t>2026-11-22</t>
        </is>
      </c>
      <c r="F837" s="11" t="n">
        <v>1911</v>
      </c>
      <c r="G837" s="11" t="n">
        <v>1927</v>
      </c>
      <c r="H837" s="11">
        <f>G837-F837</f>
        <v/>
      </c>
      <c r="I837" s="12">
        <f>H837/F837</f>
        <v/>
      </c>
      <c r="J837" s="9" t="inlineStr">
        <is>
          <t>Roberto Fernandes</t>
        </is>
      </c>
      <c r="K837" s="13" t="inlineStr">
        <is>
          <t>B03</t>
        </is>
      </c>
      <c r="L837" s="13">
        <f>IF(H837=0, "Correto", "Divergente")</f>
        <v/>
      </c>
    </row>
    <row r="838">
      <c r="A838" s="2" t="n">
        <v>837</v>
      </c>
      <c r="B838" s="2" t="n">
        <v>168</v>
      </c>
      <c r="C838" s="3" t="inlineStr">
        <is>
          <t>Repetidor Wi-Fi 1200Mbps (Modelo 4)</t>
        </is>
      </c>
      <c r="D838" s="3" t="inlineStr">
        <is>
          <t>Redes</t>
        </is>
      </c>
      <c r="E838" s="4" t="inlineStr">
        <is>
          <t>2026-02-18</t>
        </is>
      </c>
      <c r="F838" s="5" t="n">
        <v>3716</v>
      </c>
      <c r="G838" s="5" t="n">
        <v>3726</v>
      </c>
      <c r="H838" s="5">
        <f>G838-F838</f>
        <v/>
      </c>
      <c r="I838" s="6">
        <f>H838/F838</f>
        <v/>
      </c>
      <c r="J838" s="3" t="inlineStr">
        <is>
          <t>Camila Azevedo</t>
        </is>
      </c>
      <c r="K838" s="7" t="inlineStr">
        <is>
          <t>B03</t>
        </is>
      </c>
      <c r="L838" s="7">
        <f>IF(H838=0, "Correto", "Divergente")</f>
        <v/>
      </c>
    </row>
    <row r="839">
      <c r="A839" s="8" t="n">
        <v>838</v>
      </c>
      <c r="B839" s="8" t="n">
        <v>158</v>
      </c>
      <c r="C839" s="9" t="inlineStr">
        <is>
          <t>Switch Gigabit 16 Portas (Modelo 9)</t>
        </is>
      </c>
      <c r="D839" s="9" t="inlineStr">
        <is>
          <t>Redes</t>
        </is>
      </c>
      <c r="E839" s="10" t="inlineStr">
        <is>
          <t>2025-03-11</t>
        </is>
      </c>
      <c r="F839" s="11" t="n">
        <v>2807</v>
      </c>
      <c r="G839" s="11" t="n">
        <v>2807</v>
      </c>
      <c r="H839" s="11">
        <f>G839-F839</f>
        <v/>
      </c>
      <c r="I839" s="12">
        <f>H839/F839</f>
        <v/>
      </c>
      <c r="J839" s="9" t="inlineStr">
        <is>
          <t>Fernanda Vasconcelos</t>
        </is>
      </c>
      <c r="K839" s="13" t="inlineStr">
        <is>
          <t>B03</t>
        </is>
      </c>
      <c r="L839" s="13">
        <f>IF(H839=0, "Correto", "Divergente")</f>
        <v/>
      </c>
    </row>
    <row r="840">
      <c r="A840" s="2" t="n">
        <v>839</v>
      </c>
      <c r="B840" s="2" t="n">
        <v>182</v>
      </c>
      <c r="C840" s="3" t="inlineStr">
        <is>
          <t>Mesa Digitalizadora (Modelo 3)</t>
        </is>
      </c>
      <c r="D840" s="3" t="inlineStr">
        <is>
          <t>Periféricos</t>
        </is>
      </c>
      <c r="E840" s="4" t="inlineStr">
        <is>
          <t>2024-05-08</t>
        </is>
      </c>
      <c r="F840" s="5" t="n">
        <v>3303</v>
      </c>
      <c r="G840" s="5" t="n">
        <v>3303</v>
      </c>
      <c r="H840" s="5">
        <f>G840-F840</f>
        <v/>
      </c>
      <c r="I840" s="6">
        <f>H840/F840</f>
        <v/>
      </c>
      <c r="J840" s="3" t="inlineStr">
        <is>
          <t>Mariana Alcantara</t>
        </is>
      </c>
      <c r="K840" s="7" t="inlineStr">
        <is>
          <t>A01</t>
        </is>
      </c>
      <c r="L840" s="7">
        <f>IF(H840=0, "Correto", "Divergente")</f>
        <v/>
      </c>
    </row>
    <row r="841">
      <c r="A841" s="8" t="n">
        <v>840</v>
      </c>
      <c r="B841" s="8" t="n">
        <v>186</v>
      </c>
      <c r="C841" s="9" t="inlineStr">
        <is>
          <t>Cartão de Memória MicroSD 128GB (Modelo 7)</t>
        </is>
      </c>
      <c r="D841" s="9" t="inlineStr">
        <is>
          <t>Armazenamento</t>
        </is>
      </c>
      <c r="E841" s="10" t="inlineStr">
        <is>
          <t>2026-11-19</t>
        </is>
      </c>
      <c r="F841" s="11" t="n">
        <v>4782</v>
      </c>
      <c r="G841" s="11" t="n">
        <v>4782</v>
      </c>
      <c r="H841" s="11">
        <f>G841-F841</f>
        <v/>
      </c>
      <c r="I841" s="12">
        <f>H841/F841</f>
        <v/>
      </c>
      <c r="J841" s="9" t="inlineStr">
        <is>
          <t>Marcelo Fontes</t>
        </is>
      </c>
      <c r="K841" s="13" t="inlineStr">
        <is>
          <t>C02</t>
        </is>
      </c>
      <c r="L841" s="13">
        <f>IF(H841=0, "Correto", "Divergente")</f>
        <v/>
      </c>
    </row>
    <row r="842">
      <c r="A842" s="2" t="n">
        <v>841</v>
      </c>
      <c r="B842" s="2" t="n">
        <v>136</v>
      </c>
      <c r="C842" s="3" t="inlineStr">
        <is>
          <t>HD Externo Portátil 2TB (Modelo 2)</t>
        </is>
      </c>
      <c r="D842" s="3" t="inlineStr">
        <is>
          <t>Armazenamento</t>
        </is>
      </c>
      <c r="E842" s="4" t="inlineStr">
        <is>
          <t>2024-08-25</t>
        </is>
      </c>
      <c r="F842" s="5" t="n">
        <v>845</v>
      </c>
      <c r="G842" s="5" t="n">
        <v>845</v>
      </c>
      <c r="H842" s="5">
        <f>G842-F842</f>
        <v/>
      </c>
      <c r="I842" s="6">
        <f>H842/F842</f>
        <v/>
      </c>
      <c r="J842" s="3" t="inlineStr">
        <is>
          <t>Beatriz Castilho</t>
        </is>
      </c>
      <c r="K842" s="7" t="inlineStr">
        <is>
          <t>C01</t>
        </is>
      </c>
      <c r="L842" s="7">
        <f>IF(H842=0, "Correto", "Divergente")</f>
        <v/>
      </c>
    </row>
    <row r="843">
      <c r="A843" s="8" t="n">
        <v>842</v>
      </c>
      <c r="B843" s="8" t="n">
        <v>11</v>
      </c>
      <c r="C843" s="9" t="inlineStr">
        <is>
          <t>Desktop Core i5 8GB (Modelo 12)</t>
        </is>
      </c>
      <c r="D843" s="9" t="inlineStr">
        <is>
          <t>Informática</t>
        </is>
      </c>
      <c r="E843" s="10" t="inlineStr">
        <is>
          <t>2026-01-05</t>
        </is>
      </c>
      <c r="F843" s="11" t="n">
        <v>1436</v>
      </c>
      <c r="G843" s="11" t="n">
        <v>1405</v>
      </c>
      <c r="H843" s="11">
        <f>G843-F843</f>
        <v/>
      </c>
      <c r="I843" s="12">
        <f>H843/F843</f>
        <v/>
      </c>
      <c r="J843" s="9" t="inlineStr">
        <is>
          <t>Roberto Fernandes</t>
        </is>
      </c>
      <c r="K843" s="13" t="inlineStr">
        <is>
          <t>C02</t>
        </is>
      </c>
      <c r="L843" s="13">
        <f>IF(H843=0, "Correto", "Divergente")</f>
        <v/>
      </c>
    </row>
    <row r="844">
      <c r="A844" s="2" t="n">
        <v>843</v>
      </c>
      <c r="B844" s="2" t="n">
        <v>163</v>
      </c>
      <c r="C844" s="3" t="inlineStr">
        <is>
          <t>Monitor LED 21.5" Full HD (Modelo 14)</t>
        </is>
      </c>
      <c r="D844" s="3" t="inlineStr">
        <is>
          <t>Monitores</t>
        </is>
      </c>
      <c r="E844" s="4" t="inlineStr">
        <is>
          <t>2024-03-29</t>
        </is>
      </c>
      <c r="F844" s="5" t="n">
        <v>2118</v>
      </c>
      <c r="G844" s="5" t="n">
        <v>2021</v>
      </c>
      <c r="H844" s="5">
        <f>G844-F844</f>
        <v/>
      </c>
      <c r="I844" s="6">
        <f>H844/F844</f>
        <v/>
      </c>
      <c r="J844" s="3" t="inlineStr">
        <is>
          <t>Roberto Fernandes</t>
        </is>
      </c>
      <c r="K844" s="7" t="inlineStr">
        <is>
          <t>C01</t>
        </is>
      </c>
      <c r="L844" s="7">
        <f>IF(H844=0, "Correto", "Divergente")</f>
        <v/>
      </c>
    </row>
    <row r="845">
      <c r="A845" s="8" t="n">
        <v>844</v>
      </c>
      <c r="B845" s="8" t="n">
        <v>175</v>
      </c>
      <c r="C845" s="9" t="inlineStr">
        <is>
          <t>Headset USB com Cancelamento de Ruído (Modelo 11)</t>
        </is>
      </c>
      <c r="D845" s="9" t="inlineStr">
        <is>
          <t>Áudio</t>
        </is>
      </c>
      <c r="E845" s="10" t="inlineStr">
        <is>
          <t>2025-06-17</t>
        </is>
      </c>
      <c r="F845" s="11" t="n">
        <v>2112</v>
      </c>
      <c r="G845" s="11" t="n">
        <v>2112</v>
      </c>
      <c r="H845" s="11">
        <f>G845-F845</f>
        <v/>
      </c>
      <c r="I845" s="12">
        <f>H845/F845</f>
        <v/>
      </c>
      <c r="J845" s="9" t="inlineStr">
        <is>
          <t>Beatriz Castilho</t>
        </is>
      </c>
      <c r="K845" s="13" t="inlineStr">
        <is>
          <t>B02</t>
        </is>
      </c>
      <c r="L845" s="13">
        <f>IF(H845=0, "Correto", "Divergente")</f>
        <v/>
      </c>
    </row>
    <row r="846">
      <c r="A846" s="2" t="n">
        <v>845</v>
      </c>
      <c r="B846" s="2" t="n">
        <v>193</v>
      </c>
      <c r="C846" s="3" t="inlineStr">
        <is>
          <t>Monitor LED 21.5" Full HD (Modelo 14)</t>
        </is>
      </c>
      <c r="D846" s="3" t="inlineStr">
        <is>
          <t>Monitores</t>
        </is>
      </c>
      <c r="E846" s="4" t="inlineStr">
        <is>
          <t>2024-08-15</t>
        </is>
      </c>
      <c r="F846" s="5" t="n">
        <v>2453</v>
      </c>
      <c r="G846" s="5" t="n">
        <v>2453</v>
      </c>
      <c r="H846" s="5">
        <f>G846-F846</f>
        <v/>
      </c>
      <c r="I846" s="6">
        <f>H846/F846</f>
        <v/>
      </c>
      <c r="J846" s="3" t="inlineStr">
        <is>
          <t>Beatriz Castilho</t>
        </is>
      </c>
      <c r="K846" s="7" t="inlineStr">
        <is>
          <t>A01</t>
        </is>
      </c>
      <c r="L846" s="7">
        <f>IF(H846=0, "Correto", "Divergente")</f>
        <v/>
      </c>
    </row>
    <row r="847">
      <c r="A847" s="8" t="n">
        <v>846</v>
      </c>
      <c r="B847" s="8" t="n">
        <v>87</v>
      </c>
      <c r="C847" s="9" t="inlineStr">
        <is>
          <t>Tablet 10.1" Wi-Fi 64GB (Modelo 13)</t>
        </is>
      </c>
      <c r="D847" s="9" t="inlineStr">
        <is>
          <t>Smartphones</t>
        </is>
      </c>
      <c r="E847" s="10" t="inlineStr">
        <is>
          <t>2025-06-06</t>
        </is>
      </c>
      <c r="F847" s="11" t="n">
        <v>4833</v>
      </c>
      <c r="G847" s="11" t="n">
        <v>4220</v>
      </c>
      <c r="H847" s="11">
        <f>G847-F847</f>
        <v/>
      </c>
      <c r="I847" s="12">
        <f>H847/F847</f>
        <v/>
      </c>
      <c r="J847" s="9" t="inlineStr">
        <is>
          <t>Fernanda Vasconcelos</t>
        </is>
      </c>
      <c r="K847" s="13" t="inlineStr">
        <is>
          <t>B01</t>
        </is>
      </c>
      <c r="L847" s="13">
        <f>IF(H847=0, "Correto", "Divergente")</f>
        <v/>
      </c>
    </row>
    <row r="848">
      <c r="A848" s="2" t="n">
        <v>847</v>
      </c>
      <c r="B848" s="2" t="n">
        <v>7</v>
      </c>
      <c r="C848" s="3" t="inlineStr">
        <is>
          <t>Smartphone Empresarial 128GB (Modelo 8)</t>
        </is>
      </c>
      <c r="D848" s="3" t="inlineStr">
        <is>
          <t>Smartphones</t>
        </is>
      </c>
      <c r="E848" s="4" t="inlineStr">
        <is>
          <t>2025-02-03</t>
        </is>
      </c>
      <c r="F848" s="5" t="n">
        <v>1283</v>
      </c>
      <c r="G848" s="5" t="n">
        <v>1197</v>
      </c>
      <c r="H848" s="5">
        <f>G848-F848</f>
        <v/>
      </c>
      <c r="I848" s="6">
        <f>H848/F848</f>
        <v/>
      </c>
      <c r="J848" s="3" t="inlineStr">
        <is>
          <t>Roberto Fernandes</t>
        </is>
      </c>
      <c r="K848" s="7" t="inlineStr">
        <is>
          <t>C01</t>
        </is>
      </c>
      <c r="L848" s="7">
        <f>IF(H848=0, "Correto", "Divergente")</f>
        <v/>
      </c>
    </row>
    <row r="849">
      <c r="A849" s="8" t="n">
        <v>848</v>
      </c>
      <c r="B849" s="8" t="n">
        <v>185</v>
      </c>
      <c r="C849" s="9" t="inlineStr">
        <is>
          <t>Caixa de Som Bluetooth Portátil (Modelo 6)</t>
        </is>
      </c>
      <c r="D849" s="9" t="inlineStr">
        <is>
          <t>Áudio</t>
        </is>
      </c>
      <c r="E849" s="10" t="inlineStr">
        <is>
          <t>2026-03-24</t>
        </is>
      </c>
      <c r="F849" s="11" t="n">
        <v>3671</v>
      </c>
      <c r="G849" s="11" t="n">
        <v>4074</v>
      </c>
      <c r="H849" s="11">
        <f>G849-F849</f>
        <v/>
      </c>
      <c r="I849" s="12">
        <f>H849/F849</f>
        <v/>
      </c>
      <c r="J849" s="9" t="inlineStr">
        <is>
          <t>Camila Azevedo</t>
        </is>
      </c>
      <c r="K849" s="13" t="inlineStr">
        <is>
          <t>C02</t>
        </is>
      </c>
      <c r="L849" s="13">
        <f>IF(H849=0, "Correto", "Divergente")</f>
        <v/>
      </c>
    </row>
    <row r="850">
      <c r="A850" s="2" t="n">
        <v>849</v>
      </c>
      <c r="B850" s="2" t="n">
        <v>161</v>
      </c>
      <c r="C850" s="3" t="inlineStr">
        <is>
          <t>Notebook Corporate i5 16GB (Modelo 12)</t>
        </is>
      </c>
      <c r="D850" s="3" t="inlineStr">
        <is>
          <t>Informática</t>
        </is>
      </c>
      <c r="E850" s="4" t="inlineStr">
        <is>
          <t>2025-05-06</t>
        </is>
      </c>
      <c r="F850" s="5" t="n">
        <v>3720</v>
      </c>
      <c r="G850" s="5" t="n">
        <v>3720</v>
      </c>
      <c r="H850" s="5">
        <f>G850-F850</f>
        <v/>
      </c>
      <c r="I850" s="6">
        <f>H850/F850</f>
        <v/>
      </c>
      <c r="J850" s="3" t="inlineStr">
        <is>
          <t>Mariana Alcantara</t>
        </is>
      </c>
      <c r="K850" s="7" t="inlineStr">
        <is>
          <t>A02</t>
        </is>
      </c>
      <c r="L850" s="7">
        <f>IF(H850=0, "Correto", "Divergente")</f>
        <v/>
      </c>
    </row>
    <row r="851">
      <c r="A851" s="8" t="n">
        <v>850</v>
      </c>
      <c r="B851" s="8" t="n">
        <v>35</v>
      </c>
      <c r="C851" s="9" t="inlineStr">
        <is>
          <t>Caixa de Som Bluetooth Portátil (Modelo 6)</t>
        </is>
      </c>
      <c r="D851" s="9" t="inlineStr">
        <is>
          <t>Áudio</t>
        </is>
      </c>
      <c r="E851" s="10" t="inlineStr">
        <is>
          <t>2025-03-13</t>
        </is>
      </c>
      <c r="F851" s="11" t="n">
        <v>2935</v>
      </c>
      <c r="G851" s="11" t="n">
        <v>2935</v>
      </c>
      <c r="H851" s="11">
        <f>G851-F851</f>
        <v/>
      </c>
      <c r="I851" s="12">
        <f>H851/F851</f>
        <v/>
      </c>
      <c r="J851" s="9" t="inlineStr">
        <is>
          <t>Patricia Prado</t>
        </is>
      </c>
      <c r="K851" s="13" t="inlineStr">
        <is>
          <t>A01</t>
        </is>
      </c>
      <c r="L851" s="13">
        <f>IF(H851=0, "Correto", "Divergente")</f>
        <v/>
      </c>
    </row>
    <row r="852">
      <c r="A852" s="2" t="n">
        <v>851</v>
      </c>
      <c r="B852" s="2" t="n">
        <v>112</v>
      </c>
      <c r="C852" s="3" t="inlineStr">
        <is>
          <t>Mesa Digitalizadora (Modelo 8)</t>
        </is>
      </c>
      <c r="D852" s="3" t="inlineStr">
        <is>
          <t>Periféricos</t>
        </is>
      </c>
      <c r="E852" s="4" t="inlineStr">
        <is>
          <t>2025-12-25</t>
        </is>
      </c>
      <c r="F852" s="5" t="n">
        <v>3151</v>
      </c>
      <c r="G852" s="5" t="n">
        <v>3151</v>
      </c>
      <c r="H852" s="5">
        <f>G852-F852</f>
        <v/>
      </c>
      <c r="I852" s="6">
        <f>H852/F852</f>
        <v/>
      </c>
      <c r="J852" s="3" t="inlineStr">
        <is>
          <t>Ricardo Mendes</t>
        </is>
      </c>
      <c r="K852" s="7" t="inlineStr">
        <is>
          <t>Depósito Externo</t>
        </is>
      </c>
      <c r="L852" s="7">
        <f>IF(H852=0, "Correto", "Divergente")</f>
        <v/>
      </c>
    </row>
    <row r="853">
      <c r="A853" s="8" t="n">
        <v>852</v>
      </c>
      <c r="B853" s="8" t="n">
        <v>65</v>
      </c>
      <c r="C853" s="9" t="inlineStr">
        <is>
          <t>Caixa de Som Bluetooth Portátil (Modelo 6)</t>
        </is>
      </c>
      <c r="D853" s="9" t="inlineStr">
        <is>
          <t>Áudio</t>
        </is>
      </c>
      <c r="E853" s="10" t="inlineStr">
        <is>
          <t>2024-08-02</t>
        </is>
      </c>
      <c r="F853" s="11" t="n">
        <v>2693</v>
      </c>
      <c r="G853" s="11" t="n">
        <v>2693</v>
      </c>
      <c r="H853" s="11">
        <f>G853-F853</f>
        <v/>
      </c>
      <c r="I853" s="12">
        <f>H853/F853</f>
        <v/>
      </c>
      <c r="J853" s="9" t="inlineStr">
        <is>
          <t>Gustavo Silveira</t>
        </is>
      </c>
      <c r="K853" s="13" t="inlineStr">
        <is>
          <t>Depósito Externo</t>
        </is>
      </c>
      <c r="L853" s="13">
        <f>IF(H853=0, "Correto", "Divergente")</f>
        <v/>
      </c>
    </row>
    <row r="854">
      <c r="A854" s="2" t="n">
        <v>853</v>
      </c>
      <c r="B854" s="2" t="n">
        <v>20</v>
      </c>
      <c r="C854" s="3" t="inlineStr">
        <is>
          <t>Memória RAM DDR4 16GB 3200MHz (Modelo 6)</t>
        </is>
      </c>
      <c r="D854" s="3" t="inlineStr">
        <is>
          <t>Componentes</t>
        </is>
      </c>
      <c r="E854" s="4" t="inlineStr">
        <is>
          <t>2025-10-12</t>
        </is>
      </c>
      <c r="F854" s="5" t="n">
        <v>4552</v>
      </c>
      <c r="G854" s="5" t="n">
        <v>4552</v>
      </c>
      <c r="H854" s="5">
        <f>G854-F854</f>
        <v/>
      </c>
      <c r="I854" s="6">
        <f>H854/F854</f>
        <v/>
      </c>
      <c r="J854" s="3" t="inlineStr">
        <is>
          <t>Fernanda Vasconcelos</t>
        </is>
      </c>
      <c r="K854" s="7" t="inlineStr">
        <is>
          <t>C02</t>
        </is>
      </c>
      <c r="L854" s="7">
        <f>IF(H854=0, "Correto", "Divergente")</f>
        <v/>
      </c>
    </row>
    <row r="855">
      <c r="A855" s="8" t="n">
        <v>854</v>
      </c>
      <c r="B855" s="8" t="n">
        <v>87</v>
      </c>
      <c r="C855" s="9" t="inlineStr">
        <is>
          <t>Tablet 10.1" Wi-Fi 64GB (Modelo 13)</t>
        </is>
      </c>
      <c r="D855" s="9" t="inlineStr">
        <is>
          <t>Smartphones</t>
        </is>
      </c>
      <c r="E855" s="10" t="inlineStr">
        <is>
          <t>2026-06-14</t>
        </is>
      </c>
      <c r="F855" s="11" t="n">
        <v>3716</v>
      </c>
      <c r="G855" s="11" t="n">
        <v>3716</v>
      </c>
      <c r="H855" s="11">
        <f>G855-F855</f>
        <v/>
      </c>
      <c r="I855" s="12">
        <f>H855/F855</f>
        <v/>
      </c>
      <c r="J855" s="9" t="inlineStr">
        <is>
          <t>Roberto Fernandes</t>
        </is>
      </c>
      <c r="K855" s="13" t="inlineStr">
        <is>
          <t>B02</t>
        </is>
      </c>
      <c r="L855" s="13">
        <f>IF(H855=0, "Correto", "Divergente")</f>
        <v/>
      </c>
    </row>
    <row r="856">
      <c r="A856" s="2" t="n">
        <v>855</v>
      </c>
      <c r="B856" s="2" t="n">
        <v>178</v>
      </c>
      <c r="C856" s="3" t="inlineStr">
        <is>
          <t>Access Point Wi-Fi Corporativo (Modelo 14)</t>
        </is>
      </c>
      <c r="D856" s="3" t="inlineStr">
        <is>
          <t>Redes</t>
        </is>
      </c>
      <c r="E856" s="4" t="inlineStr">
        <is>
          <t>2026-09-11</t>
        </is>
      </c>
      <c r="F856" s="5" t="n">
        <v>2289</v>
      </c>
      <c r="G856" s="5" t="n">
        <v>2289</v>
      </c>
      <c r="H856" s="5">
        <f>G856-F856</f>
        <v/>
      </c>
      <c r="I856" s="6">
        <f>H856/F856</f>
        <v/>
      </c>
      <c r="J856" s="3" t="inlineStr">
        <is>
          <t>Mariana Alcantara</t>
        </is>
      </c>
      <c r="K856" s="7" t="inlineStr">
        <is>
          <t>C03</t>
        </is>
      </c>
      <c r="L856" s="7">
        <f>IF(H856=0, "Correto", "Divergente")</f>
        <v/>
      </c>
    </row>
    <row r="857">
      <c r="A857" s="8" t="n">
        <v>856</v>
      </c>
      <c r="B857" s="8" t="n">
        <v>11</v>
      </c>
      <c r="C857" s="9" t="inlineStr">
        <is>
          <t>Desktop Core i5 8GB (Modelo 12)</t>
        </is>
      </c>
      <c r="D857" s="9" t="inlineStr">
        <is>
          <t>Informática</t>
        </is>
      </c>
      <c r="E857" s="10" t="inlineStr">
        <is>
          <t>2024-06-29</t>
        </is>
      </c>
      <c r="F857" s="11" t="n">
        <v>937</v>
      </c>
      <c r="G857" s="11" t="n">
        <v>937</v>
      </c>
      <c r="H857" s="11">
        <f>G857-F857</f>
        <v/>
      </c>
      <c r="I857" s="12">
        <f>H857/F857</f>
        <v/>
      </c>
      <c r="J857" s="9" t="inlineStr">
        <is>
          <t>Marcelo Fontes</t>
        </is>
      </c>
      <c r="K857" s="13" t="inlineStr">
        <is>
          <t>B01</t>
        </is>
      </c>
      <c r="L857" s="13">
        <f>IF(H857=0, "Correto", "Divergente")</f>
        <v/>
      </c>
    </row>
    <row r="858">
      <c r="A858" s="2" t="n">
        <v>857</v>
      </c>
      <c r="B858" s="2" t="n">
        <v>32</v>
      </c>
      <c r="C858" s="3" t="inlineStr">
        <is>
          <t>Mouse Sem Fio Bluetooth (Modelo 3)</t>
        </is>
      </c>
      <c r="D858" s="3" t="inlineStr">
        <is>
          <t>Periféricos</t>
        </is>
      </c>
      <c r="E858" s="4" t="inlineStr">
        <is>
          <t>2024-08-14</t>
        </is>
      </c>
      <c r="F858" s="5" t="n">
        <v>2324</v>
      </c>
      <c r="G858" s="5" t="n">
        <v>2324</v>
      </c>
      <c r="H858" s="5">
        <f>G858-F858</f>
        <v/>
      </c>
      <c r="I858" s="6">
        <f>H858/F858</f>
        <v/>
      </c>
      <c r="J858" s="3" t="inlineStr">
        <is>
          <t>Carlos Eduardo Rocha</t>
        </is>
      </c>
      <c r="K858" s="7" t="inlineStr">
        <is>
          <t>B02</t>
        </is>
      </c>
      <c r="L858" s="7">
        <f>IF(H858=0, "Correto", "Divergente")</f>
        <v/>
      </c>
    </row>
    <row r="859">
      <c r="A859" s="8" t="n">
        <v>858</v>
      </c>
      <c r="B859" s="8" t="n">
        <v>172</v>
      </c>
      <c r="C859" s="9" t="inlineStr">
        <is>
          <t>Mouse Sem Fio Bluetooth (Modelo 8)</t>
        </is>
      </c>
      <c r="D859" s="9" t="inlineStr">
        <is>
          <t>Periféricos</t>
        </is>
      </c>
      <c r="E859" s="10" t="inlineStr">
        <is>
          <t>2024-10-01</t>
        </is>
      </c>
      <c r="F859" s="11" t="n">
        <v>2010</v>
      </c>
      <c r="G859" s="11" t="n">
        <v>2010</v>
      </c>
      <c r="H859" s="11">
        <f>G859-F859</f>
        <v/>
      </c>
      <c r="I859" s="12">
        <f>H859/F859</f>
        <v/>
      </c>
      <c r="J859" s="9" t="inlineStr">
        <is>
          <t>Gustavo Silveira</t>
        </is>
      </c>
      <c r="K859" s="13" t="inlineStr">
        <is>
          <t>A02</t>
        </is>
      </c>
      <c r="L859" s="13">
        <f>IF(H859=0, "Correto", "Divergente")</f>
        <v/>
      </c>
    </row>
    <row r="860">
      <c r="A860" s="2" t="n">
        <v>859</v>
      </c>
      <c r="B860" s="2" t="n">
        <v>166</v>
      </c>
      <c r="C860" s="3" t="inlineStr">
        <is>
          <t>HD Externo Portátil 2TB (Modelo 2)</t>
        </is>
      </c>
      <c r="D860" s="3" t="inlineStr">
        <is>
          <t>Armazenamento</t>
        </is>
      </c>
      <c r="E860" s="4" t="inlineStr">
        <is>
          <t>2026-03-14</t>
        </is>
      </c>
      <c r="F860" s="5" t="n">
        <v>2504</v>
      </c>
      <c r="G860" s="5" t="n">
        <v>2504</v>
      </c>
      <c r="H860" s="5">
        <f>G860-F860</f>
        <v/>
      </c>
      <c r="I860" s="6">
        <f>H860/F860</f>
        <v/>
      </c>
      <c r="J860" s="3" t="inlineStr">
        <is>
          <t>Patricia Prado</t>
        </is>
      </c>
      <c r="K860" s="7" t="inlineStr">
        <is>
          <t>A02</t>
        </is>
      </c>
      <c r="L860" s="7">
        <f>IF(H860=0, "Correto", "Divergente")</f>
        <v/>
      </c>
    </row>
    <row r="861">
      <c r="A861" s="8" t="n">
        <v>860</v>
      </c>
      <c r="B861" s="8" t="n">
        <v>88</v>
      </c>
      <c r="C861" s="9" t="inlineStr">
        <is>
          <t>Access Point Wi-Fi Corporativo (Modelo 14)</t>
        </is>
      </c>
      <c r="D861" s="9" t="inlineStr">
        <is>
          <t>Redes</t>
        </is>
      </c>
      <c r="E861" s="10" t="inlineStr">
        <is>
          <t>2025-02-26</t>
        </is>
      </c>
      <c r="F861" s="11" t="n">
        <v>1536</v>
      </c>
      <c r="G861" s="11" t="n">
        <v>1536</v>
      </c>
      <c r="H861" s="11">
        <f>G861-F861</f>
        <v/>
      </c>
      <c r="I861" s="12">
        <f>H861/F861</f>
        <v/>
      </c>
      <c r="J861" s="9" t="inlineStr">
        <is>
          <t>Roberto Fernandes</t>
        </is>
      </c>
      <c r="K861" s="13" t="inlineStr">
        <is>
          <t>C02</t>
        </is>
      </c>
      <c r="L861" s="13">
        <f>IF(H861=0, "Correto", "Divergente")</f>
        <v/>
      </c>
    </row>
    <row r="862">
      <c r="A862" s="2" t="n">
        <v>861</v>
      </c>
      <c r="B862" s="2" t="n">
        <v>148</v>
      </c>
      <c r="C862" s="3" t="inlineStr">
        <is>
          <t>Access Point Wi-Fi Corporativo (Modelo 14)</t>
        </is>
      </c>
      <c r="D862" s="3" t="inlineStr">
        <is>
          <t>Redes</t>
        </is>
      </c>
      <c r="E862" s="4" t="inlineStr">
        <is>
          <t>2025-08-02</t>
        </is>
      </c>
      <c r="F862" s="5" t="n">
        <v>3907</v>
      </c>
      <c r="G862" s="5" t="n">
        <v>3907</v>
      </c>
      <c r="H862" s="5">
        <f>G862-F862</f>
        <v/>
      </c>
      <c r="I862" s="6">
        <f>H862/F862</f>
        <v/>
      </c>
      <c r="J862" s="3" t="inlineStr">
        <is>
          <t>Beatriz Castilho</t>
        </is>
      </c>
      <c r="K862" s="7" t="inlineStr">
        <is>
          <t>C02</t>
        </is>
      </c>
      <c r="L862" s="7">
        <f>IF(H862=0, "Correto", "Divergente")</f>
        <v/>
      </c>
    </row>
    <row r="863">
      <c r="A863" s="8" t="n">
        <v>862</v>
      </c>
      <c r="B863" s="8" t="n">
        <v>129</v>
      </c>
      <c r="C863" s="9" t="inlineStr">
        <is>
          <t>Filtro de Linha 6 Tomadas (Modelo 10)</t>
        </is>
      </c>
      <c r="D863" s="9" t="inlineStr">
        <is>
          <t>Acessórios</t>
        </is>
      </c>
      <c r="E863" s="10" t="inlineStr">
        <is>
          <t>2026-05-31</t>
        </is>
      </c>
      <c r="F863" s="11" t="n">
        <v>497</v>
      </c>
      <c r="G863" s="11" t="n">
        <v>497</v>
      </c>
      <c r="H863" s="11">
        <f>G863-F863</f>
        <v/>
      </c>
      <c r="I863" s="12">
        <f>H863/F863</f>
        <v/>
      </c>
      <c r="J863" s="9" t="inlineStr">
        <is>
          <t>Ricardo Mendes</t>
        </is>
      </c>
      <c r="K863" s="13" t="inlineStr">
        <is>
          <t>C01</t>
        </is>
      </c>
      <c r="L863" s="13">
        <f>IF(H863=0, "Correto", "Divergente")</f>
        <v/>
      </c>
    </row>
    <row r="864">
      <c r="A864" s="2" t="n">
        <v>863</v>
      </c>
      <c r="B864" s="2" t="n">
        <v>198</v>
      </c>
      <c r="C864" s="3" t="inlineStr">
        <is>
          <t>Repetidor Wi-Fi 1200Mbps (Modelo 4)</t>
        </is>
      </c>
      <c r="D864" s="3" t="inlineStr">
        <is>
          <t>Redes</t>
        </is>
      </c>
      <c r="E864" s="4" t="inlineStr">
        <is>
          <t>2024-11-30</t>
        </is>
      </c>
      <c r="F864" s="5" t="n">
        <v>4908</v>
      </c>
      <c r="G864" s="5" t="n">
        <v>4908</v>
      </c>
      <c r="H864" s="5">
        <f>G864-F864</f>
        <v/>
      </c>
      <c r="I864" s="6">
        <f>H864/F864</f>
        <v/>
      </c>
      <c r="J864" s="3" t="inlineStr">
        <is>
          <t>Roberto Fernandes</t>
        </is>
      </c>
      <c r="K864" s="7" t="inlineStr">
        <is>
          <t>A02</t>
        </is>
      </c>
      <c r="L864" s="7">
        <f>IF(H864=0, "Correto", "Divergente")</f>
        <v/>
      </c>
    </row>
    <row r="865">
      <c r="A865" s="8" t="n">
        <v>864</v>
      </c>
      <c r="B865" s="8" t="n">
        <v>133</v>
      </c>
      <c r="C865" s="9" t="inlineStr">
        <is>
          <t>Monitor LED 21.5" Full HD (Modelo 14)</t>
        </is>
      </c>
      <c r="D865" s="9" t="inlineStr">
        <is>
          <t>Monitores</t>
        </is>
      </c>
      <c r="E865" s="10" t="inlineStr">
        <is>
          <t>2025-08-27</t>
        </is>
      </c>
      <c r="F865" s="11" t="n">
        <v>1785</v>
      </c>
      <c r="G865" s="11" t="n">
        <v>2038</v>
      </c>
      <c r="H865" s="11">
        <f>G865-F865</f>
        <v/>
      </c>
      <c r="I865" s="12">
        <f>H865/F865</f>
        <v/>
      </c>
      <c r="J865" s="9" t="inlineStr">
        <is>
          <t>Gustavo Silveira</t>
        </is>
      </c>
      <c r="K865" s="13" t="inlineStr">
        <is>
          <t>A02</t>
        </is>
      </c>
      <c r="L865" s="13">
        <f>IF(H865=0, "Correto", "Divergente")</f>
        <v/>
      </c>
    </row>
    <row r="866">
      <c r="A866" s="2" t="n">
        <v>865</v>
      </c>
      <c r="B866" s="2" t="n">
        <v>95</v>
      </c>
      <c r="C866" s="3" t="inlineStr">
        <is>
          <t>Caixa de Som Bluetooth Portátil (Modelo 6)</t>
        </is>
      </c>
      <c r="D866" s="3" t="inlineStr">
        <is>
          <t>Áudio</t>
        </is>
      </c>
      <c r="E866" s="4" t="inlineStr">
        <is>
          <t>2024-04-02</t>
        </is>
      </c>
      <c r="F866" s="5" t="n">
        <v>4124</v>
      </c>
      <c r="G866" s="5" t="n">
        <v>4124</v>
      </c>
      <c r="H866" s="5">
        <f>G866-F866</f>
        <v/>
      </c>
      <c r="I866" s="6">
        <f>H866/F866</f>
        <v/>
      </c>
      <c r="J866" s="3" t="inlineStr">
        <is>
          <t>Patricia Prado</t>
        </is>
      </c>
      <c r="K866" s="7" t="inlineStr">
        <is>
          <t>A03</t>
        </is>
      </c>
      <c r="L866" s="7">
        <f>IF(H866=0, "Correto", "Divergente")</f>
        <v/>
      </c>
    </row>
    <row r="867">
      <c r="A867" s="8" t="n">
        <v>866</v>
      </c>
      <c r="B867" s="8" t="n">
        <v>31</v>
      </c>
      <c r="C867" s="9" t="inlineStr">
        <is>
          <t>Chromebook 11.6" (Modelo 2)</t>
        </is>
      </c>
      <c r="D867" s="9" t="inlineStr">
        <is>
          <t>Informática</t>
        </is>
      </c>
      <c r="E867" s="10" t="inlineStr">
        <is>
          <t>2025-08-04</t>
        </is>
      </c>
      <c r="F867" s="11" t="n">
        <v>4760</v>
      </c>
      <c r="G867" s="11" t="n">
        <v>4760</v>
      </c>
      <c r="H867" s="11">
        <f>G867-F867</f>
        <v/>
      </c>
      <c r="I867" s="12">
        <f>H867/F867</f>
        <v/>
      </c>
      <c r="J867" s="9" t="inlineStr">
        <is>
          <t>Beatriz Castilho</t>
        </is>
      </c>
      <c r="K867" s="13" t="inlineStr">
        <is>
          <t>B02</t>
        </is>
      </c>
      <c r="L867" s="13">
        <f>IF(H867=0, "Correto", "Divergente")</f>
        <v/>
      </c>
    </row>
    <row r="868">
      <c r="A868" s="2" t="n">
        <v>867</v>
      </c>
      <c r="B868" s="2" t="n">
        <v>14</v>
      </c>
      <c r="C868" s="3" t="inlineStr">
        <is>
          <t>Multifuncional Tanque de Tinta (Modelo 15)</t>
        </is>
      </c>
      <c r="D868" s="3" t="inlineStr">
        <is>
          <t>Impressão</t>
        </is>
      </c>
      <c r="E868" s="4" t="inlineStr">
        <is>
          <t>2026-08-03</t>
        </is>
      </c>
      <c r="F868" s="5" t="n">
        <v>4799</v>
      </c>
      <c r="G868" s="5" t="n">
        <v>4799</v>
      </c>
      <c r="H868" s="5">
        <f>G868-F868</f>
        <v/>
      </c>
      <c r="I868" s="6">
        <f>H868/F868</f>
        <v/>
      </c>
      <c r="J868" s="3" t="inlineStr">
        <is>
          <t>Mariana Alcantara</t>
        </is>
      </c>
      <c r="K868" s="7" t="inlineStr">
        <is>
          <t>A03</t>
        </is>
      </c>
      <c r="L868" s="7">
        <f>IF(H868=0, "Correto", "Divergente")</f>
        <v/>
      </c>
    </row>
    <row r="869">
      <c r="A869" s="8" t="n">
        <v>868</v>
      </c>
      <c r="B869" s="8" t="n">
        <v>191</v>
      </c>
      <c r="C869" s="9" t="inlineStr">
        <is>
          <t>Chromebook 11.6" (Modelo 12)</t>
        </is>
      </c>
      <c r="D869" s="9" t="inlineStr">
        <is>
          <t>Informática</t>
        </is>
      </c>
      <c r="E869" s="10" t="inlineStr">
        <is>
          <t>2026-01-02</t>
        </is>
      </c>
      <c r="F869" s="11" t="n">
        <v>4779</v>
      </c>
      <c r="G869" s="11" t="n">
        <v>4779</v>
      </c>
      <c r="H869" s="11">
        <f>G869-F869</f>
        <v/>
      </c>
      <c r="I869" s="12">
        <f>H869/F869</f>
        <v/>
      </c>
      <c r="J869" s="9" t="inlineStr">
        <is>
          <t>Fernanda Vasconcelos</t>
        </is>
      </c>
      <c r="K869" s="13" t="inlineStr">
        <is>
          <t>C03</t>
        </is>
      </c>
      <c r="L869" s="13">
        <f>IF(H869=0, "Correto", "Divergente")</f>
        <v/>
      </c>
    </row>
    <row r="870">
      <c r="A870" s="2" t="n">
        <v>869</v>
      </c>
      <c r="B870" s="2" t="n">
        <v>159</v>
      </c>
      <c r="C870" s="3" t="inlineStr">
        <is>
          <t>Hub USB-C 7 em 1 (Modelo 10)</t>
        </is>
      </c>
      <c r="D870" s="3" t="inlineStr">
        <is>
          <t>Acessórios</t>
        </is>
      </c>
      <c r="E870" s="4" t="inlineStr">
        <is>
          <t>2024-04-15</t>
        </is>
      </c>
      <c r="F870" s="5" t="n">
        <v>286</v>
      </c>
      <c r="G870" s="5" t="n">
        <v>286</v>
      </c>
      <c r="H870" s="5">
        <f>G870-F870</f>
        <v/>
      </c>
      <c r="I870" s="6">
        <f>H870/F870</f>
        <v/>
      </c>
      <c r="J870" s="3" t="inlineStr">
        <is>
          <t>Roberto Fernandes</t>
        </is>
      </c>
      <c r="K870" s="7" t="inlineStr">
        <is>
          <t>B03</t>
        </is>
      </c>
      <c r="L870" s="7">
        <f>IF(H870=0, "Correto", "Divergente")</f>
        <v/>
      </c>
    </row>
    <row r="871">
      <c r="A871" s="8" t="n">
        <v>870</v>
      </c>
      <c r="B871" s="8" t="n">
        <v>140</v>
      </c>
      <c r="C871" s="9" t="inlineStr">
        <is>
          <t>Memória RAM DDR4 16GB 3200MHz (Modelo 6)</t>
        </is>
      </c>
      <c r="D871" s="9" t="inlineStr">
        <is>
          <t>Componentes</t>
        </is>
      </c>
      <c r="E871" s="10" t="inlineStr">
        <is>
          <t>2025-05-17</t>
        </is>
      </c>
      <c r="F871" s="11" t="n">
        <v>2460</v>
      </c>
      <c r="G871" s="11" t="n">
        <v>2460</v>
      </c>
      <c r="H871" s="11">
        <f>G871-F871</f>
        <v/>
      </c>
      <c r="I871" s="12">
        <f>H871/F871</f>
        <v/>
      </c>
      <c r="J871" s="9" t="inlineStr">
        <is>
          <t>Beatriz Castilho</t>
        </is>
      </c>
      <c r="K871" s="13" t="inlineStr">
        <is>
          <t>A02</t>
        </is>
      </c>
      <c r="L871" s="13">
        <f>IF(H871=0, "Correto", "Divergente")</f>
        <v/>
      </c>
    </row>
    <row r="872">
      <c r="A872" s="2" t="n">
        <v>871</v>
      </c>
      <c r="B872" s="2" t="n">
        <v>174</v>
      </c>
      <c r="C872" s="3" t="inlineStr">
        <is>
          <t>Cartucho Colorido Premium (Modelo 10)</t>
        </is>
      </c>
      <c r="D872" s="3" t="inlineStr">
        <is>
          <t>Impressão</t>
        </is>
      </c>
      <c r="E872" s="4" t="inlineStr">
        <is>
          <t>2024-01-20</t>
        </is>
      </c>
      <c r="F872" s="5" t="n">
        <v>4173</v>
      </c>
      <c r="G872" s="5" t="n">
        <v>4165</v>
      </c>
      <c r="H872" s="5">
        <f>G872-F872</f>
        <v/>
      </c>
      <c r="I872" s="6">
        <f>H872/F872</f>
        <v/>
      </c>
      <c r="J872" s="3" t="inlineStr">
        <is>
          <t>Roberto Fernandes</t>
        </is>
      </c>
      <c r="K872" s="7" t="inlineStr">
        <is>
          <t>Depósito Externo</t>
        </is>
      </c>
      <c r="L872" s="7">
        <f>IF(H872=0, "Correto", "Divergente")</f>
        <v/>
      </c>
    </row>
    <row r="873">
      <c r="A873" s="8" t="n">
        <v>872</v>
      </c>
      <c r="B873" s="8" t="n">
        <v>160</v>
      </c>
      <c r="C873" s="9" t="inlineStr">
        <is>
          <t>Fonte Atx 500W 80 Plus (Modelo 11)</t>
        </is>
      </c>
      <c r="D873" s="9" t="inlineStr">
        <is>
          <t>Componentes</t>
        </is>
      </c>
      <c r="E873" s="10" t="inlineStr">
        <is>
          <t>2025-12-24</t>
        </is>
      </c>
      <c r="F873" s="11" t="n">
        <v>4054</v>
      </c>
      <c r="G873" s="11" t="n">
        <v>4214</v>
      </c>
      <c r="H873" s="11">
        <f>G873-F873</f>
        <v/>
      </c>
      <c r="I873" s="12">
        <f>H873/F873</f>
        <v/>
      </c>
      <c r="J873" s="9" t="inlineStr">
        <is>
          <t>Carlos Eduardo Rocha</t>
        </is>
      </c>
      <c r="K873" s="13" t="inlineStr">
        <is>
          <t>A03</t>
        </is>
      </c>
      <c r="L873" s="13">
        <f>IF(H873=0, "Correto", "Divergente")</f>
        <v/>
      </c>
    </row>
    <row r="874">
      <c r="A874" s="2" t="n">
        <v>873</v>
      </c>
      <c r="B874" s="2" t="n">
        <v>30</v>
      </c>
      <c r="C874" s="3" t="inlineStr">
        <is>
          <t>Cooler para Processador 120mm (Modelo 1)</t>
        </is>
      </c>
      <c r="D874" s="3" t="inlineStr">
        <is>
          <t>Componentes</t>
        </is>
      </c>
      <c r="E874" s="4" t="inlineStr">
        <is>
          <t>2024-05-17</t>
        </is>
      </c>
      <c r="F874" s="5" t="n">
        <v>4693</v>
      </c>
      <c r="G874" s="5" t="n">
        <v>4693</v>
      </c>
      <c r="H874" s="5">
        <f>G874-F874</f>
        <v/>
      </c>
      <c r="I874" s="6">
        <f>H874/F874</f>
        <v/>
      </c>
      <c r="J874" s="3" t="inlineStr">
        <is>
          <t>Ricardo Mendes</t>
        </is>
      </c>
      <c r="K874" s="7" t="inlineStr">
        <is>
          <t>Depósito Externo</t>
        </is>
      </c>
      <c r="L874" s="7">
        <f>IF(H874=0, "Correto", "Divergente")</f>
        <v/>
      </c>
    </row>
    <row r="875">
      <c r="A875" s="8" t="n">
        <v>874</v>
      </c>
      <c r="B875" s="8" t="n">
        <v>185</v>
      </c>
      <c r="C875" s="9" t="inlineStr">
        <is>
          <t>Caixa de Som Bluetooth Portátil (Modelo 6)</t>
        </is>
      </c>
      <c r="D875" s="9" t="inlineStr">
        <is>
          <t>Áudio</t>
        </is>
      </c>
      <c r="E875" s="10" t="inlineStr">
        <is>
          <t>2026-05-18</t>
        </is>
      </c>
      <c r="F875" s="11" t="n">
        <v>1889</v>
      </c>
      <c r="G875" s="11" t="n">
        <v>1889</v>
      </c>
      <c r="H875" s="11">
        <f>G875-F875</f>
        <v/>
      </c>
      <c r="I875" s="12">
        <f>H875/F875</f>
        <v/>
      </c>
      <c r="J875" s="9" t="inlineStr">
        <is>
          <t>Beatriz Castilho</t>
        </is>
      </c>
      <c r="K875" s="13" t="inlineStr">
        <is>
          <t>B03</t>
        </is>
      </c>
      <c r="L875" s="13">
        <f>IF(H875=0, "Correto", "Divergente")</f>
        <v/>
      </c>
    </row>
    <row r="876">
      <c r="A876" s="2" t="n">
        <v>875</v>
      </c>
      <c r="B876" s="2" t="n">
        <v>95</v>
      </c>
      <c r="C876" s="3" t="inlineStr">
        <is>
          <t>Caixa de Som Bluetooth Portátil (Modelo 6)</t>
        </is>
      </c>
      <c r="D876" s="3" t="inlineStr">
        <is>
          <t>Áudio</t>
        </is>
      </c>
      <c r="E876" s="4" t="inlineStr">
        <is>
          <t>2026-02-24</t>
        </is>
      </c>
      <c r="F876" s="5" t="n">
        <v>2782</v>
      </c>
      <c r="G876" s="5" t="n">
        <v>2782</v>
      </c>
      <c r="H876" s="5">
        <f>G876-F876</f>
        <v/>
      </c>
      <c r="I876" s="6">
        <f>H876/F876</f>
        <v/>
      </c>
      <c r="J876" s="3" t="inlineStr">
        <is>
          <t>Gustavo Silveira</t>
        </is>
      </c>
      <c r="K876" s="7" t="inlineStr">
        <is>
          <t>B02</t>
        </is>
      </c>
      <c r="L876" s="7">
        <f>IF(H876=0, "Correto", "Divergente")</f>
        <v/>
      </c>
    </row>
    <row r="877">
      <c r="A877" s="8" t="n">
        <v>876</v>
      </c>
      <c r="B877" s="8" t="n">
        <v>168</v>
      </c>
      <c r="C877" s="9" t="inlineStr">
        <is>
          <t>Repetidor Wi-Fi 1200Mbps (Modelo 4)</t>
        </is>
      </c>
      <c r="D877" s="9" t="inlineStr">
        <is>
          <t>Redes</t>
        </is>
      </c>
      <c r="E877" s="10" t="inlineStr">
        <is>
          <t>2024-04-10</t>
        </is>
      </c>
      <c r="F877" s="11" t="n">
        <v>1512</v>
      </c>
      <c r="G877" s="11" t="n">
        <v>1521</v>
      </c>
      <c r="H877" s="11">
        <f>G877-F877</f>
        <v/>
      </c>
      <c r="I877" s="12">
        <f>H877/F877</f>
        <v/>
      </c>
      <c r="J877" s="9" t="inlineStr">
        <is>
          <t>Beatriz Castilho</t>
        </is>
      </c>
      <c r="K877" s="13" t="inlineStr">
        <is>
          <t>B02</t>
        </is>
      </c>
      <c r="L877" s="13">
        <f>IF(H877=0, "Correto", "Divergente")</f>
        <v/>
      </c>
    </row>
    <row r="878">
      <c r="A878" s="2" t="n">
        <v>877</v>
      </c>
      <c r="B878" s="2" t="n">
        <v>131</v>
      </c>
      <c r="C878" s="3" t="inlineStr">
        <is>
          <t>Desktop Core i5 8GB (Modelo 12)</t>
        </is>
      </c>
      <c r="D878" s="3" t="inlineStr">
        <is>
          <t>Informática</t>
        </is>
      </c>
      <c r="E878" s="4" t="inlineStr">
        <is>
          <t>2026-04-30</t>
        </is>
      </c>
      <c r="F878" s="5" t="n">
        <v>4685</v>
      </c>
      <c r="G878" s="5" t="n">
        <v>4685</v>
      </c>
      <c r="H878" s="5">
        <f>G878-F878</f>
        <v/>
      </c>
      <c r="I878" s="6">
        <f>H878/F878</f>
        <v/>
      </c>
      <c r="J878" s="3" t="inlineStr">
        <is>
          <t>Beatriz Castilho</t>
        </is>
      </c>
      <c r="K878" s="7" t="inlineStr">
        <is>
          <t>A03</t>
        </is>
      </c>
      <c r="L878" s="7">
        <f>IF(H878=0, "Correto", "Divergente")</f>
        <v/>
      </c>
    </row>
    <row r="879">
      <c r="A879" s="8" t="n">
        <v>878</v>
      </c>
      <c r="B879" s="8" t="n">
        <v>76</v>
      </c>
      <c r="C879" s="9" t="inlineStr">
        <is>
          <t>HD Externo Portátil 2TB (Modelo 2)</t>
        </is>
      </c>
      <c r="D879" s="9" t="inlineStr">
        <is>
          <t>Armazenamento</t>
        </is>
      </c>
      <c r="E879" s="10" t="inlineStr">
        <is>
          <t>2026-01-04</t>
        </is>
      </c>
      <c r="F879" s="11" t="n">
        <v>4037</v>
      </c>
      <c r="G879" s="11" t="n">
        <v>4037</v>
      </c>
      <c r="H879" s="11">
        <f>G879-F879</f>
        <v/>
      </c>
      <c r="I879" s="12">
        <f>H879/F879</f>
        <v/>
      </c>
      <c r="J879" s="9" t="inlineStr">
        <is>
          <t>Mariana Alcantara</t>
        </is>
      </c>
      <c r="K879" s="13" t="inlineStr">
        <is>
          <t>B02</t>
        </is>
      </c>
      <c r="L879" s="13">
        <f>IF(H879=0, "Correto", "Divergente")</f>
        <v/>
      </c>
    </row>
    <row r="880">
      <c r="A880" s="2" t="n">
        <v>879</v>
      </c>
      <c r="B880" s="2" t="n">
        <v>128</v>
      </c>
      <c r="C880" s="3" t="inlineStr">
        <is>
          <t>Switch Gigabit 16 Portas (Modelo 9)</t>
        </is>
      </c>
      <c r="D880" s="3" t="inlineStr">
        <is>
          <t>Redes</t>
        </is>
      </c>
      <c r="E880" s="4" t="inlineStr">
        <is>
          <t>2025-11-29</t>
        </is>
      </c>
      <c r="F880" s="5" t="n">
        <v>2827</v>
      </c>
      <c r="G880" s="5" t="n">
        <v>2827</v>
      </c>
      <c r="H880" s="5">
        <f>G880-F880</f>
        <v/>
      </c>
      <c r="I880" s="6">
        <f>H880/F880</f>
        <v/>
      </c>
      <c r="J880" s="3" t="inlineStr">
        <is>
          <t>Fernanda Vasconcelos</t>
        </is>
      </c>
      <c r="K880" s="7" t="inlineStr">
        <is>
          <t>A01</t>
        </is>
      </c>
      <c r="L880" s="7">
        <f>IF(H880=0, "Correto", "Divergente")</f>
        <v/>
      </c>
    </row>
    <row r="881">
      <c r="A881" s="8" t="n">
        <v>880</v>
      </c>
      <c r="B881" s="8" t="n">
        <v>137</v>
      </c>
      <c r="C881" s="9" t="inlineStr">
        <is>
          <t>Capa Protetora para Tablet (Modelo 3)</t>
        </is>
      </c>
      <c r="D881" s="9" t="inlineStr">
        <is>
          <t>Smartphones</t>
        </is>
      </c>
      <c r="E881" s="10" t="inlineStr">
        <is>
          <t>2026-11-11</t>
        </is>
      </c>
      <c r="F881" s="11" t="n">
        <v>3540</v>
      </c>
      <c r="G881" s="11" t="n">
        <v>3540</v>
      </c>
      <c r="H881" s="11">
        <f>G881-F881</f>
        <v/>
      </c>
      <c r="I881" s="12">
        <f>H881/F881</f>
        <v/>
      </c>
      <c r="J881" s="9" t="inlineStr">
        <is>
          <t>Mariana Alcantara</t>
        </is>
      </c>
      <c r="K881" s="13" t="inlineStr">
        <is>
          <t>A02</t>
        </is>
      </c>
      <c r="L881" s="13">
        <f>IF(H881=0, "Correto", "Divergente")</f>
        <v/>
      </c>
    </row>
    <row r="882">
      <c r="A882" s="2" t="n">
        <v>881</v>
      </c>
      <c r="B882" s="2" t="n">
        <v>53</v>
      </c>
      <c r="C882" s="3" t="inlineStr">
        <is>
          <t>Monitor 4K 32" Profissional (Modelo 9)</t>
        </is>
      </c>
      <c r="D882" s="3" t="inlineStr">
        <is>
          <t>Monitores</t>
        </is>
      </c>
      <c r="E882" s="4" t="inlineStr">
        <is>
          <t>2024-08-19</t>
        </is>
      </c>
      <c r="F882" s="5" t="n">
        <v>3497</v>
      </c>
      <c r="G882" s="5" t="n">
        <v>3497</v>
      </c>
      <c r="H882" s="5">
        <f>G882-F882</f>
        <v/>
      </c>
      <c r="I882" s="6">
        <f>H882/F882</f>
        <v/>
      </c>
      <c r="J882" s="3" t="inlineStr">
        <is>
          <t>Camila Azevedo</t>
        </is>
      </c>
      <c r="K882" s="7" t="inlineStr">
        <is>
          <t>C01</t>
        </is>
      </c>
      <c r="L882" s="7">
        <f>IF(H882=0, "Correto", "Divergente")</f>
        <v/>
      </c>
    </row>
    <row r="883">
      <c r="A883" s="8" t="n">
        <v>882</v>
      </c>
      <c r="B883" s="8" t="n">
        <v>165</v>
      </c>
      <c r="C883" s="9" t="inlineStr">
        <is>
          <t>Caixa de Som USB 10W (Modelo 1)</t>
        </is>
      </c>
      <c r="D883" s="9" t="inlineStr">
        <is>
          <t>Áudio</t>
        </is>
      </c>
      <c r="E883" s="10" t="inlineStr">
        <is>
          <t>2026-12-10</t>
        </is>
      </c>
      <c r="F883" s="11" t="n">
        <v>839</v>
      </c>
      <c r="G883" s="11" t="n">
        <v>839</v>
      </c>
      <c r="H883" s="11">
        <f>G883-F883</f>
        <v/>
      </c>
      <c r="I883" s="12">
        <f>H883/F883</f>
        <v/>
      </c>
      <c r="J883" s="9" t="inlineStr">
        <is>
          <t>Gustavo Silveira</t>
        </is>
      </c>
      <c r="K883" s="13" t="inlineStr">
        <is>
          <t>Depósito Externo</t>
        </is>
      </c>
      <c r="L883" s="13">
        <f>IF(H883=0, "Correto", "Divergente")</f>
        <v/>
      </c>
    </row>
    <row r="884">
      <c r="A884" s="2" t="n">
        <v>883</v>
      </c>
      <c r="B884" s="2" t="n">
        <v>175</v>
      </c>
      <c r="C884" s="3" t="inlineStr">
        <is>
          <t>Headset USB com Cancelamento de Ruído (Modelo 11)</t>
        </is>
      </c>
      <c r="D884" s="3" t="inlineStr">
        <is>
          <t>Áudio</t>
        </is>
      </c>
      <c r="E884" s="4" t="inlineStr">
        <is>
          <t>2025-07-06</t>
        </is>
      </c>
      <c r="F884" s="5" t="n">
        <v>983</v>
      </c>
      <c r="G884" s="5" t="n">
        <v>983</v>
      </c>
      <c r="H884" s="5">
        <f>G884-F884</f>
        <v/>
      </c>
      <c r="I884" s="6">
        <f>H884/F884</f>
        <v/>
      </c>
      <c r="J884" s="3" t="inlineStr">
        <is>
          <t>Ricardo Mendes</t>
        </is>
      </c>
      <c r="K884" s="7" t="inlineStr">
        <is>
          <t>A01</t>
        </is>
      </c>
      <c r="L884" s="7">
        <f>IF(H884=0, "Correto", "Divergente")</f>
        <v/>
      </c>
    </row>
    <row r="885">
      <c r="A885" s="8" t="n">
        <v>884</v>
      </c>
      <c r="B885" s="8" t="n">
        <v>197</v>
      </c>
      <c r="C885" s="9" t="inlineStr">
        <is>
          <t>Capa Protetora para Tablet (Modelo 3)</t>
        </is>
      </c>
      <c r="D885" s="9" t="inlineStr">
        <is>
          <t>Smartphones</t>
        </is>
      </c>
      <c r="E885" s="10" t="inlineStr">
        <is>
          <t>2024-07-08</t>
        </is>
      </c>
      <c r="F885" s="11" t="n">
        <v>3394</v>
      </c>
      <c r="G885" s="11" t="n">
        <v>3394</v>
      </c>
      <c r="H885" s="11">
        <f>G885-F885</f>
        <v/>
      </c>
      <c r="I885" s="12">
        <f>H885/F885</f>
        <v/>
      </c>
      <c r="J885" s="9" t="inlineStr">
        <is>
          <t>Ricardo Mendes</t>
        </is>
      </c>
      <c r="K885" s="13" t="inlineStr">
        <is>
          <t>A01</t>
        </is>
      </c>
      <c r="L885" s="13">
        <f>IF(H885=0, "Correto", "Divergente")</f>
        <v/>
      </c>
    </row>
    <row r="886">
      <c r="A886" s="2" t="n">
        <v>885</v>
      </c>
      <c r="B886" s="2" t="n">
        <v>94</v>
      </c>
      <c r="C886" s="3" t="inlineStr">
        <is>
          <t>Toner HP Preto Original (Modelo 5)</t>
        </is>
      </c>
      <c r="D886" s="3" t="inlineStr">
        <is>
          <t>Impressão</t>
        </is>
      </c>
      <c r="E886" s="4" t="inlineStr">
        <is>
          <t>2024-04-22</t>
        </is>
      </c>
      <c r="F886" s="5" t="n">
        <v>695</v>
      </c>
      <c r="G886" s="5" t="n">
        <v>607</v>
      </c>
      <c r="H886" s="5">
        <f>G886-F886</f>
        <v/>
      </c>
      <c r="I886" s="6">
        <f>H886/F886</f>
        <v/>
      </c>
      <c r="J886" s="3" t="inlineStr">
        <is>
          <t>Gustavo Silveira</t>
        </is>
      </c>
      <c r="K886" s="7" t="inlineStr">
        <is>
          <t>B03</t>
        </is>
      </c>
      <c r="L886" s="7">
        <f>IF(H886=0, "Correto", "Divergente")</f>
        <v/>
      </c>
    </row>
    <row r="887">
      <c r="A887" s="8" t="n">
        <v>886</v>
      </c>
      <c r="B887" s="8" t="n">
        <v>146</v>
      </c>
      <c r="C887" s="9" t="inlineStr">
        <is>
          <t>SSD NVMe 1TB M.2 (Modelo 12)</t>
        </is>
      </c>
      <c r="D887" s="9" t="inlineStr">
        <is>
          <t>Armazenamento</t>
        </is>
      </c>
      <c r="E887" s="10" t="inlineStr">
        <is>
          <t>2025-05-08</t>
        </is>
      </c>
      <c r="F887" s="11" t="n">
        <v>2719</v>
      </c>
      <c r="G887" s="11" t="n">
        <v>2719</v>
      </c>
      <c r="H887" s="11">
        <f>G887-F887</f>
        <v/>
      </c>
      <c r="I887" s="12">
        <f>H887/F887</f>
        <v/>
      </c>
      <c r="J887" s="9" t="inlineStr">
        <is>
          <t>Camila Azevedo</t>
        </is>
      </c>
      <c r="K887" s="13" t="inlineStr">
        <is>
          <t>B03</t>
        </is>
      </c>
      <c r="L887" s="13">
        <f>IF(H887=0, "Correto", "Divergente")</f>
        <v/>
      </c>
    </row>
    <row r="888">
      <c r="A888" s="2" t="n">
        <v>887</v>
      </c>
      <c r="B888" s="2" t="n">
        <v>1</v>
      </c>
      <c r="C888" s="3" t="inlineStr">
        <is>
          <t>Notebook Corporate i5 16GB (Modelo 2)</t>
        </is>
      </c>
      <c r="D888" s="3" t="inlineStr">
        <is>
          <t>Informática</t>
        </is>
      </c>
      <c r="E888" s="4" t="inlineStr">
        <is>
          <t>2024-10-29</t>
        </is>
      </c>
      <c r="F888" s="5" t="n">
        <v>2647</v>
      </c>
      <c r="G888" s="5" t="n">
        <v>2647</v>
      </c>
      <c r="H888" s="5">
        <f>G888-F888</f>
        <v/>
      </c>
      <c r="I888" s="6">
        <f>H888/F888</f>
        <v/>
      </c>
      <c r="J888" s="3" t="inlineStr">
        <is>
          <t>Roberto Fernandes</t>
        </is>
      </c>
      <c r="K888" s="7" t="inlineStr">
        <is>
          <t>B03</t>
        </is>
      </c>
      <c r="L888" s="7">
        <f>IF(H888=0, "Correto", "Divergente")</f>
        <v/>
      </c>
    </row>
    <row r="889">
      <c r="A889" s="8" t="n">
        <v>888</v>
      </c>
      <c r="B889" s="8" t="n">
        <v>101</v>
      </c>
      <c r="C889" s="9" t="inlineStr">
        <is>
          <t>Mini PC Ryzen 5 (Modelo 12)</t>
        </is>
      </c>
      <c r="D889" s="9" t="inlineStr">
        <is>
          <t>Informática</t>
        </is>
      </c>
      <c r="E889" s="10" t="inlineStr">
        <is>
          <t>2025-10-11</t>
        </is>
      </c>
      <c r="F889" s="11" t="n">
        <v>2214</v>
      </c>
      <c r="G889" s="11" t="n">
        <v>2211</v>
      </c>
      <c r="H889" s="11">
        <f>G889-F889</f>
        <v/>
      </c>
      <c r="I889" s="12">
        <f>H889/F889</f>
        <v/>
      </c>
      <c r="J889" s="9" t="inlineStr">
        <is>
          <t>Beatriz Castilho</t>
        </is>
      </c>
      <c r="K889" s="13" t="inlineStr">
        <is>
          <t>B02</t>
        </is>
      </c>
      <c r="L889" s="13">
        <f>IF(H889=0, "Correto", "Divergente")</f>
        <v/>
      </c>
    </row>
    <row r="890">
      <c r="A890" s="2" t="n">
        <v>889</v>
      </c>
      <c r="B890" s="2" t="n">
        <v>120</v>
      </c>
      <c r="C890" s="3" t="inlineStr">
        <is>
          <t>Cooler para Processador 120mm (Modelo 1)</t>
        </is>
      </c>
      <c r="D890" s="3" t="inlineStr">
        <is>
          <t>Componentes</t>
        </is>
      </c>
      <c r="E890" s="4" t="inlineStr">
        <is>
          <t>2026-05-12</t>
        </is>
      </c>
      <c r="F890" s="5" t="n">
        <v>1771</v>
      </c>
      <c r="G890" s="5" t="n">
        <v>1771</v>
      </c>
      <c r="H890" s="5">
        <f>G890-F890</f>
        <v/>
      </c>
      <c r="I890" s="6">
        <f>H890/F890</f>
        <v/>
      </c>
      <c r="J890" s="3" t="inlineStr">
        <is>
          <t>Beatriz Castilho</t>
        </is>
      </c>
      <c r="K890" s="7" t="inlineStr">
        <is>
          <t>C03</t>
        </is>
      </c>
      <c r="L890" s="7">
        <f>IF(H890=0, "Correto", "Divergente")</f>
        <v/>
      </c>
    </row>
    <row r="891">
      <c r="A891" s="8" t="n">
        <v>890</v>
      </c>
      <c r="B891" s="8" t="n">
        <v>142</v>
      </c>
      <c r="C891" s="9" t="inlineStr">
        <is>
          <t>Teclado Sem Fio Ergológico (Modelo 8)</t>
        </is>
      </c>
      <c r="D891" s="9" t="inlineStr">
        <is>
          <t>Periféricos</t>
        </is>
      </c>
      <c r="E891" s="10" t="inlineStr">
        <is>
          <t>2025-03-19</t>
        </is>
      </c>
      <c r="F891" s="11" t="n">
        <v>2648</v>
      </c>
      <c r="G891" s="11" t="n">
        <v>2533</v>
      </c>
      <c r="H891" s="11">
        <f>G891-F891</f>
        <v/>
      </c>
      <c r="I891" s="12">
        <f>H891/F891</f>
        <v/>
      </c>
      <c r="J891" s="9" t="inlineStr">
        <is>
          <t>Beatriz Castilho</t>
        </is>
      </c>
      <c r="K891" s="13" t="inlineStr">
        <is>
          <t>B03</t>
        </is>
      </c>
      <c r="L891" s="13">
        <f>IF(H891=0, "Correto", "Divergente")</f>
        <v/>
      </c>
    </row>
    <row r="892">
      <c r="A892" s="2" t="n">
        <v>891</v>
      </c>
      <c r="B892" s="2" t="n">
        <v>84</v>
      </c>
      <c r="C892" s="3" t="inlineStr">
        <is>
          <t>Cartucho Colorido Premium (Modelo 10)</t>
        </is>
      </c>
      <c r="D892" s="3" t="inlineStr">
        <is>
          <t>Impressão</t>
        </is>
      </c>
      <c r="E892" s="4" t="inlineStr">
        <is>
          <t>2026-08-23</t>
        </is>
      </c>
      <c r="F892" s="5" t="n">
        <v>2102</v>
      </c>
      <c r="G892" s="5" t="n">
        <v>2102</v>
      </c>
      <c r="H892" s="5">
        <f>G892-F892</f>
        <v/>
      </c>
      <c r="I892" s="6">
        <f>H892/F892</f>
        <v/>
      </c>
      <c r="J892" s="3" t="inlineStr">
        <is>
          <t>Fernanda Vasconcelos</t>
        </is>
      </c>
      <c r="K892" s="7" t="inlineStr">
        <is>
          <t>B01</t>
        </is>
      </c>
      <c r="L892" s="7">
        <f>IF(H892=0, "Correto", "Divergente")</f>
        <v/>
      </c>
    </row>
    <row r="893">
      <c r="A893" s="8" t="n">
        <v>892</v>
      </c>
      <c r="B893" s="8" t="n">
        <v>34</v>
      </c>
      <c r="C893" s="9" t="inlineStr">
        <is>
          <t>Toner HP Preto Original (Modelo 5)</t>
        </is>
      </c>
      <c r="D893" s="9" t="inlineStr">
        <is>
          <t>Impressão</t>
        </is>
      </c>
      <c r="E893" s="10" t="inlineStr">
        <is>
          <t>2025-12-10</t>
        </is>
      </c>
      <c r="F893" s="11" t="n">
        <v>3202</v>
      </c>
      <c r="G893" s="11" t="n">
        <v>3202</v>
      </c>
      <c r="H893" s="11">
        <f>G893-F893</f>
        <v/>
      </c>
      <c r="I893" s="12">
        <f>H893/F893</f>
        <v/>
      </c>
      <c r="J893" s="9" t="inlineStr">
        <is>
          <t>Carlos Eduardo Rocha</t>
        </is>
      </c>
      <c r="K893" s="13" t="inlineStr">
        <is>
          <t>B02</t>
        </is>
      </c>
      <c r="L893" s="13">
        <f>IF(H893=0, "Correto", "Divergente")</f>
        <v/>
      </c>
    </row>
    <row r="894">
      <c r="A894" s="2" t="n">
        <v>893</v>
      </c>
      <c r="B894" s="2" t="n">
        <v>176</v>
      </c>
      <c r="C894" s="3" t="inlineStr">
        <is>
          <t>SSD NVMe 1TB M.2 (Modelo 12)</t>
        </is>
      </c>
      <c r="D894" s="3" t="inlineStr">
        <is>
          <t>Armazenamento</t>
        </is>
      </c>
      <c r="E894" s="4" t="inlineStr">
        <is>
          <t>2024-11-03</t>
        </is>
      </c>
      <c r="F894" s="5" t="n">
        <v>697</v>
      </c>
      <c r="G894" s="5" t="n">
        <v>697</v>
      </c>
      <c r="H894" s="5">
        <f>G894-F894</f>
        <v/>
      </c>
      <c r="I894" s="6">
        <f>H894/F894</f>
        <v/>
      </c>
      <c r="J894" s="3" t="inlineStr">
        <is>
          <t>Beatriz Castilho</t>
        </is>
      </c>
      <c r="K894" s="7" t="inlineStr">
        <is>
          <t>A03</t>
        </is>
      </c>
      <c r="L894" s="7">
        <f>IF(H894=0, "Correto", "Divergente")</f>
        <v/>
      </c>
    </row>
    <row r="895">
      <c r="A895" s="8" t="n">
        <v>894</v>
      </c>
      <c r="B895" s="8" t="n">
        <v>126</v>
      </c>
      <c r="C895" s="9" t="inlineStr">
        <is>
          <t>Cartão de Memória MicroSD 128GB (Modelo 7)</t>
        </is>
      </c>
      <c r="D895" s="9" t="inlineStr">
        <is>
          <t>Armazenamento</t>
        </is>
      </c>
      <c r="E895" s="10" t="inlineStr">
        <is>
          <t>2024-08-19</t>
        </is>
      </c>
      <c r="F895" s="11" t="n">
        <v>3803</v>
      </c>
      <c r="G895" s="11" t="n">
        <v>3803</v>
      </c>
      <c r="H895" s="11">
        <f>G895-F895</f>
        <v/>
      </c>
      <c r="I895" s="12">
        <f>H895/F895</f>
        <v/>
      </c>
      <c r="J895" s="9" t="inlineStr">
        <is>
          <t>Ricardo Mendes</t>
        </is>
      </c>
      <c r="K895" s="13" t="inlineStr">
        <is>
          <t>B01</t>
        </is>
      </c>
      <c r="L895" s="13">
        <f>IF(H895=0, "Correto", "Divergente")</f>
        <v/>
      </c>
    </row>
    <row r="896">
      <c r="A896" s="2" t="n">
        <v>895</v>
      </c>
      <c r="B896" s="2" t="n">
        <v>134</v>
      </c>
      <c r="C896" s="3" t="inlineStr">
        <is>
          <t>Multifuncional Tanque de Tinta (Modelo 15)</t>
        </is>
      </c>
      <c r="D896" s="3" t="inlineStr">
        <is>
          <t>Impressão</t>
        </is>
      </c>
      <c r="E896" s="4" t="inlineStr">
        <is>
          <t>2025-06-18</t>
        </is>
      </c>
      <c r="F896" s="5" t="n">
        <v>4318</v>
      </c>
      <c r="G896" s="5" t="n">
        <v>4318</v>
      </c>
      <c r="H896" s="5">
        <f>G896-F896</f>
        <v/>
      </c>
      <c r="I896" s="6">
        <f>H896/F896</f>
        <v/>
      </c>
      <c r="J896" s="3" t="inlineStr">
        <is>
          <t>Ricardo Mendes</t>
        </is>
      </c>
      <c r="K896" s="7" t="inlineStr">
        <is>
          <t>B03</t>
        </is>
      </c>
      <c r="L896" s="7">
        <f>IF(H896=0, "Correto", "Divergente")</f>
        <v/>
      </c>
    </row>
    <row r="897">
      <c r="A897" s="8" t="n">
        <v>896</v>
      </c>
      <c r="B897" s="8" t="n">
        <v>124</v>
      </c>
      <c r="C897" s="9" t="inlineStr">
        <is>
          <t>Toner HP Preto Original (Modelo 5)</t>
        </is>
      </c>
      <c r="D897" s="9" t="inlineStr">
        <is>
          <t>Impressão</t>
        </is>
      </c>
      <c r="E897" s="10" t="inlineStr">
        <is>
          <t>2026-09-03</t>
        </is>
      </c>
      <c r="F897" s="11" t="n">
        <v>3080</v>
      </c>
      <c r="G897" s="11" t="n">
        <v>2946</v>
      </c>
      <c r="H897" s="11">
        <f>G897-F897</f>
        <v/>
      </c>
      <c r="I897" s="12">
        <f>H897/F897</f>
        <v/>
      </c>
      <c r="J897" s="9" t="inlineStr">
        <is>
          <t>Camila Azevedo</t>
        </is>
      </c>
      <c r="K897" s="13" t="inlineStr">
        <is>
          <t>C02</t>
        </is>
      </c>
      <c r="L897" s="13">
        <f>IF(H897=0, "Correto", "Divergente")</f>
        <v/>
      </c>
    </row>
    <row r="898">
      <c r="A898" s="2" t="n">
        <v>897</v>
      </c>
      <c r="B898" s="2" t="n">
        <v>60</v>
      </c>
      <c r="C898" s="3" t="inlineStr">
        <is>
          <t>Cooler para Processador 120mm (Modelo 1)</t>
        </is>
      </c>
      <c r="D898" s="3" t="inlineStr">
        <is>
          <t>Componentes</t>
        </is>
      </c>
      <c r="E898" s="4" t="inlineStr">
        <is>
          <t>2024-03-13</t>
        </is>
      </c>
      <c r="F898" s="5" t="n">
        <v>1036</v>
      </c>
      <c r="G898" s="5" t="n">
        <v>1036</v>
      </c>
      <c r="H898" s="5">
        <f>G898-F898</f>
        <v/>
      </c>
      <c r="I898" s="6">
        <f>H898/F898</f>
        <v/>
      </c>
      <c r="J898" s="3" t="inlineStr">
        <is>
          <t>Mariana Alcantara</t>
        </is>
      </c>
      <c r="K898" s="7" t="inlineStr">
        <is>
          <t>C01</t>
        </is>
      </c>
      <c r="L898" s="7">
        <f>IF(H898=0, "Correto", "Divergente")</f>
        <v/>
      </c>
    </row>
    <row r="899">
      <c r="A899" s="8" t="n">
        <v>898</v>
      </c>
      <c r="B899" s="8" t="n">
        <v>90</v>
      </c>
      <c r="C899" s="9" t="inlineStr">
        <is>
          <t>Cooler para Processador 120mm (Modelo 1)</t>
        </is>
      </c>
      <c r="D899" s="9" t="inlineStr">
        <is>
          <t>Componentes</t>
        </is>
      </c>
      <c r="E899" s="10" t="inlineStr">
        <is>
          <t>2024-09-20</t>
        </is>
      </c>
      <c r="F899" s="11" t="n">
        <v>3425</v>
      </c>
      <c r="G899" s="11" t="n">
        <v>3425</v>
      </c>
      <c r="H899" s="11">
        <f>G899-F899</f>
        <v/>
      </c>
      <c r="I899" s="12">
        <f>H899/F899</f>
        <v/>
      </c>
      <c r="J899" s="9" t="inlineStr">
        <is>
          <t>Carlos Eduardo Rocha</t>
        </is>
      </c>
      <c r="K899" s="13" t="inlineStr">
        <is>
          <t>B03</t>
        </is>
      </c>
      <c r="L899" s="13">
        <f>IF(H899=0, "Correto", "Divergente")</f>
        <v/>
      </c>
    </row>
    <row r="900">
      <c r="A900" s="2" t="n">
        <v>899</v>
      </c>
      <c r="B900" s="2" t="n">
        <v>36</v>
      </c>
      <c r="C900" s="3" t="inlineStr">
        <is>
          <t>Cartão de Memória MicroSD 128GB (Modelo 7)</t>
        </is>
      </c>
      <c r="D900" s="3" t="inlineStr">
        <is>
          <t>Armazenamento</t>
        </is>
      </c>
      <c r="E900" s="4" t="inlineStr">
        <is>
          <t>2024-04-18</t>
        </is>
      </c>
      <c r="F900" s="5" t="n">
        <v>489</v>
      </c>
      <c r="G900" s="5" t="n">
        <v>489</v>
      </c>
      <c r="H900" s="5">
        <f>G900-F900</f>
        <v/>
      </c>
      <c r="I900" s="6">
        <f>H900/F900</f>
        <v/>
      </c>
      <c r="J900" s="3" t="inlineStr">
        <is>
          <t>Fernanda Vasconcelos</t>
        </is>
      </c>
      <c r="K900" s="7" t="inlineStr">
        <is>
          <t>C02</t>
        </is>
      </c>
      <c r="L900" s="7">
        <f>IF(H900=0, "Correto", "Divergente")</f>
        <v/>
      </c>
    </row>
    <row r="901">
      <c r="A901" s="8" t="n">
        <v>900</v>
      </c>
      <c r="B901" s="8" t="n">
        <v>32</v>
      </c>
      <c r="C901" s="9" t="inlineStr">
        <is>
          <t>Mouse Sem Fio Bluetooth (Modelo 3)</t>
        </is>
      </c>
      <c r="D901" s="9" t="inlineStr">
        <is>
          <t>Periféricos</t>
        </is>
      </c>
      <c r="E901" s="10" t="inlineStr">
        <is>
          <t>2025-09-03</t>
        </is>
      </c>
      <c r="F901" s="11" t="n">
        <v>2369</v>
      </c>
      <c r="G901" s="11" t="n">
        <v>2369</v>
      </c>
      <c r="H901" s="11">
        <f>G901-F901</f>
        <v/>
      </c>
      <c r="I901" s="12">
        <f>H901/F901</f>
        <v/>
      </c>
      <c r="J901" s="9" t="inlineStr">
        <is>
          <t>Fernanda Vasconcelos</t>
        </is>
      </c>
      <c r="K901" s="13" t="inlineStr">
        <is>
          <t>B02</t>
        </is>
      </c>
      <c r="L901" s="13">
        <f>IF(H901=0, "Correto", "Divergente")</f>
        <v/>
      </c>
    </row>
    <row r="902">
      <c r="A902" s="2" t="n">
        <v>901</v>
      </c>
      <c r="B902" s="2" t="n">
        <v>186</v>
      </c>
      <c r="C902" s="3" t="inlineStr">
        <is>
          <t>Cartão de Memória MicroSD 128GB (Modelo 7)</t>
        </is>
      </c>
      <c r="D902" s="3" t="inlineStr">
        <is>
          <t>Armazenamento</t>
        </is>
      </c>
      <c r="E902" s="4" t="inlineStr">
        <is>
          <t>2025-11-06</t>
        </is>
      </c>
      <c r="F902" s="5" t="n">
        <v>2244</v>
      </c>
      <c r="G902" s="5" t="n">
        <v>2244</v>
      </c>
      <c r="H902" s="5">
        <f>G902-F902</f>
        <v/>
      </c>
      <c r="I902" s="6">
        <f>H902/F902</f>
        <v/>
      </c>
      <c r="J902" s="3" t="inlineStr">
        <is>
          <t>Ricardo Mendes</t>
        </is>
      </c>
      <c r="K902" s="7" t="inlineStr">
        <is>
          <t>B01</t>
        </is>
      </c>
      <c r="L902" s="7">
        <f>IF(H902=0, "Correto", "Divergente")</f>
        <v/>
      </c>
    </row>
    <row r="903">
      <c r="A903" s="8" t="n">
        <v>902</v>
      </c>
      <c r="B903" s="8" t="n">
        <v>40</v>
      </c>
      <c r="C903" s="9" t="inlineStr">
        <is>
          <t>Fonte Atx 500W 80 Plus (Modelo 11)</t>
        </is>
      </c>
      <c r="D903" s="9" t="inlineStr">
        <is>
          <t>Componentes</t>
        </is>
      </c>
      <c r="E903" s="10" t="inlineStr">
        <is>
          <t>2025-03-10</t>
        </is>
      </c>
      <c r="F903" s="11" t="n">
        <v>2289</v>
      </c>
      <c r="G903" s="11" t="n">
        <v>2289</v>
      </c>
      <c r="H903" s="11">
        <f>G903-F903</f>
        <v/>
      </c>
      <c r="I903" s="12">
        <f>H903/F903</f>
        <v/>
      </c>
      <c r="J903" s="9" t="inlineStr">
        <is>
          <t>Camila Azevedo</t>
        </is>
      </c>
      <c r="K903" s="13" t="inlineStr">
        <is>
          <t>A03</t>
        </is>
      </c>
      <c r="L903" s="13">
        <f>IF(H903=0, "Correto", "Divergente")</f>
        <v/>
      </c>
    </row>
    <row r="904">
      <c r="A904" s="2" t="n">
        <v>903</v>
      </c>
      <c r="B904" s="2" t="n">
        <v>127</v>
      </c>
      <c r="C904" s="3" t="inlineStr">
        <is>
          <t>Smartphone Empresarial 128GB (Modelo 8)</t>
        </is>
      </c>
      <c r="D904" s="3" t="inlineStr">
        <is>
          <t>Smartphones</t>
        </is>
      </c>
      <c r="E904" s="4" t="inlineStr">
        <is>
          <t>2025-10-13</t>
        </is>
      </c>
      <c r="F904" s="5" t="n">
        <v>569</v>
      </c>
      <c r="G904" s="5" t="n">
        <v>569</v>
      </c>
      <c r="H904" s="5">
        <f>G904-F904</f>
        <v/>
      </c>
      <c r="I904" s="6">
        <f>H904/F904</f>
        <v/>
      </c>
      <c r="J904" s="3" t="inlineStr">
        <is>
          <t>Roberto Fernandes</t>
        </is>
      </c>
      <c r="K904" s="7" t="inlineStr">
        <is>
          <t>A03</t>
        </is>
      </c>
      <c r="L904" s="7">
        <f>IF(H904=0, "Correto", "Divergente")</f>
        <v/>
      </c>
    </row>
    <row r="905">
      <c r="A905" s="8" t="n">
        <v>904</v>
      </c>
      <c r="B905" s="8" t="n">
        <v>174</v>
      </c>
      <c r="C905" s="9" t="inlineStr">
        <is>
          <t>Cartucho Colorido Premium (Modelo 10)</t>
        </is>
      </c>
      <c r="D905" s="9" t="inlineStr">
        <is>
          <t>Impressão</t>
        </is>
      </c>
      <c r="E905" s="10" t="inlineStr">
        <is>
          <t>2024-08-03</t>
        </is>
      </c>
      <c r="F905" s="11" t="n">
        <v>457</v>
      </c>
      <c r="G905" s="11" t="n">
        <v>457</v>
      </c>
      <c r="H905" s="11">
        <f>G905-F905</f>
        <v/>
      </c>
      <c r="I905" s="12">
        <f>H905/F905</f>
        <v/>
      </c>
      <c r="J905" s="9" t="inlineStr">
        <is>
          <t>Camila Azevedo</t>
        </is>
      </c>
      <c r="K905" s="13" t="inlineStr">
        <is>
          <t>C02</t>
        </is>
      </c>
      <c r="L905" s="13">
        <f>IF(H905=0, "Correto", "Divergente")</f>
        <v/>
      </c>
    </row>
    <row r="906">
      <c r="A906" s="2" t="n">
        <v>905</v>
      </c>
      <c r="B906" s="2" t="n">
        <v>179</v>
      </c>
      <c r="C906" s="3" t="inlineStr">
        <is>
          <t>Nobreak 1200VA Bivolt (Modelo 15)</t>
        </is>
      </c>
      <c r="D906" s="3" t="inlineStr">
        <is>
          <t>Acessórios</t>
        </is>
      </c>
      <c r="E906" s="4" t="inlineStr">
        <is>
          <t>2026-12-13</t>
        </is>
      </c>
      <c r="F906" s="5" t="n">
        <v>227</v>
      </c>
      <c r="G906" s="5" t="n">
        <v>227</v>
      </c>
      <c r="H906" s="5">
        <f>G906-F906</f>
        <v/>
      </c>
      <c r="I906" s="6">
        <f>H906/F906</f>
        <v/>
      </c>
      <c r="J906" s="3" t="inlineStr">
        <is>
          <t>Fernanda Vasconcelos</t>
        </is>
      </c>
      <c r="K906" s="7" t="inlineStr">
        <is>
          <t>C01</t>
        </is>
      </c>
      <c r="L906" s="7">
        <f>IF(H906=0, "Correto", "Divergente")</f>
        <v/>
      </c>
    </row>
    <row r="907">
      <c r="A907" s="8" t="n">
        <v>906</v>
      </c>
      <c r="B907" s="8" t="n">
        <v>92</v>
      </c>
      <c r="C907" s="9" t="inlineStr">
        <is>
          <t>Teclado Mecânico RGB (Modelo 3)</t>
        </is>
      </c>
      <c r="D907" s="9" t="inlineStr">
        <is>
          <t>Periféricos</t>
        </is>
      </c>
      <c r="E907" s="10" t="inlineStr">
        <is>
          <t>2026-07-14</t>
        </is>
      </c>
      <c r="F907" s="11" t="n">
        <v>194</v>
      </c>
      <c r="G907" s="11" t="n">
        <v>178</v>
      </c>
      <c r="H907" s="11">
        <f>G907-F907</f>
        <v/>
      </c>
      <c r="I907" s="12">
        <f>H907/F907</f>
        <v/>
      </c>
      <c r="J907" s="9" t="inlineStr">
        <is>
          <t>Ricardo Mendes</t>
        </is>
      </c>
      <c r="K907" s="13" t="inlineStr">
        <is>
          <t>C02</t>
        </is>
      </c>
      <c r="L907" s="13">
        <f>IF(H907=0, "Correto", "Divergente")</f>
        <v/>
      </c>
    </row>
    <row r="908">
      <c r="A908" s="2" t="n">
        <v>907</v>
      </c>
      <c r="B908" s="2" t="n">
        <v>171</v>
      </c>
      <c r="C908" s="3" t="inlineStr">
        <is>
          <t>Desktop Core i5 8GB (Modelo 7)</t>
        </is>
      </c>
      <c r="D908" s="3" t="inlineStr">
        <is>
          <t>Informática</t>
        </is>
      </c>
      <c r="E908" s="4" t="inlineStr">
        <is>
          <t>2024-08-09</t>
        </is>
      </c>
      <c r="F908" s="5" t="n">
        <v>285</v>
      </c>
      <c r="G908" s="5" t="n">
        <v>285</v>
      </c>
      <c r="H908" s="5">
        <f>G908-F908</f>
        <v/>
      </c>
      <c r="I908" s="6">
        <f>H908/F908</f>
        <v/>
      </c>
      <c r="J908" s="3" t="inlineStr">
        <is>
          <t>Beatriz Castilho</t>
        </is>
      </c>
      <c r="K908" s="7" t="inlineStr">
        <is>
          <t>A01</t>
        </is>
      </c>
      <c r="L908" s="7">
        <f>IF(H908=0, "Correto", "Divergente")</f>
        <v/>
      </c>
    </row>
    <row r="909">
      <c r="A909" s="8" t="n">
        <v>908</v>
      </c>
      <c r="B909" s="8" t="n">
        <v>29</v>
      </c>
      <c r="C909" s="9" t="inlineStr">
        <is>
          <t>Cabo HDMI 2.0 2 metros (Modelo 15)</t>
        </is>
      </c>
      <c r="D909" s="9" t="inlineStr">
        <is>
          <t>Acessórios</t>
        </is>
      </c>
      <c r="E909" s="10" t="inlineStr">
        <is>
          <t>2024-07-09</t>
        </is>
      </c>
      <c r="F909" s="11" t="n">
        <v>639</v>
      </c>
      <c r="G909" s="11" t="n">
        <v>639</v>
      </c>
      <c r="H909" s="11">
        <f>G909-F909</f>
        <v/>
      </c>
      <c r="I909" s="12">
        <f>H909/F909</f>
        <v/>
      </c>
      <c r="J909" s="9" t="inlineStr">
        <is>
          <t>Gustavo Silveira</t>
        </is>
      </c>
      <c r="K909" s="13" t="inlineStr">
        <is>
          <t>B01</t>
        </is>
      </c>
      <c r="L909" s="13">
        <f>IF(H909=0, "Correto", "Divergente")</f>
        <v/>
      </c>
    </row>
    <row r="910">
      <c r="A910" s="2" t="n">
        <v>909</v>
      </c>
      <c r="B910" s="2" t="n">
        <v>23</v>
      </c>
      <c r="C910" s="3" t="inlineStr">
        <is>
          <t>Monitor 4K 32" Profissional (Modelo 9)</t>
        </is>
      </c>
      <c r="D910" s="3" t="inlineStr">
        <is>
          <t>Monitores</t>
        </is>
      </c>
      <c r="E910" s="4" t="inlineStr">
        <is>
          <t>2026-06-22</t>
        </is>
      </c>
      <c r="F910" s="5" t="n">
        <v>1867</v>
      </c>
      <c r="G910" s="5" t="n">
        <v>1867</v>
      </c>
      <c r="H910" s="5">
        <f>G910-F910</f>
        <v/>
      </c>
      <c r="I910" s="6">
        <f>H910/F910</f>
        <v/>
      </c>
      <c r="J910" s="3" t="inlineStr">
        <is>
          <t>Fernanda Vasconcelos</t>
        </is>
      </c>
      <c r="K910" s="7" t="inlineStr">
        <is>
          <t>Depósito Externo</t>
        </is>
      </c>
      <c r="L910" s="7">
        <f>IF(H910=0, "Correto", "Divergente")</f>
        <v/>
      </c>
    </row>
    <row r="911">
      <c r="A911" s="8" t="n">
        <v>910</v>
      </c>
      <c r="B911" s="8" t="n">
        <v>78</v>
      </c>
      <c r="C911" s="9" t="inlineStr">
        <is>
          <t>Repetidor Wi-Fi 1200Mbps (Modelo 4)</t>
        </is>
      </c>
      <c r="D911" s="9" t="inlineStr">
        <is>
          <t>Redes</t>
        </is>
      </c>
      <c r="E911" s="10" t="inlineStr">
        <is>
          <t>2025-06-27</t>
        </is>
      </c>
      <c r="F911" s="11" t="n">
        <v>1373</v>
      </c>
      <c r="G911" s="11" t="n">
        <v>1373</v>
      </c>
      <c r="H911" s="11">
        <f>G911-F911</f>
        <v/>
      </c>
      <c r="I911" s="12">
        <f>H911/F911</f>
        <v/>
      </c>
      <c r="J911" s="9" t="inlineStr">
        <is>
          <t>Patricia Prado</t>
        </is>
      </c>
      <c r="K911" s="13" t="inlineStr">
        <is>
          <t>B03</t>
        </is>
      </c>
      <c r="L911" s="13">
        <f>IF(H911=0, "Correto", "Divergente")</f>
        <v/>
      </c>
    </row>
    <row r="912">
      <c r="A912" s="2" t="n">
        <v>911</v>
      </c>
      <c r="B912" s="2" t="n">
        <v>69</v>
      </c>
      <c r="C912" s="3" t="inlineStr">
        <is>
          <t>Mochila para Notebook 15.6" (Modelo 10)</t>
        </is>
      </c>
      <c r="D912" s="3" t="inlineStr">
        <is>
          <t>Acessórios</t>
        </is>
      </c>
      <c r="E912" s="4" t="inlineStr">
        <is>
          <t>2024-02-19</t>
        </is>
      </c>
      <c r="F912" s="5" t="n">
        <v>3226</v>
      </c>
      <c r="G912" s="5" t="n">
        <v>3312</v>
      </c>
      <c r="H912" s="5">
        <f>G912-F912</f>
        <v/>
      </c>
      <c r="I912" s="6">
        <f>H912/F912</f>
        <v/>
      </c>
      <c r="J912" s="3" t="inlineStr">
        <is>
          <t>Mariana Alcantara</t>
        </is>
      </c>
      <c r="K912" s="7" t="inlineStr">
        <is>
          <t>C03</t>
        </is>
      </c>
      <c r="L912" s="7">
        <f>IF(H912=0, "Correto", "Divergente")</f>
        <v/>
      </c>
    </row>
    <row r="913">
      <c r="A913" s="8" t="n">
        <v>912</v>
      </c>
      <c r="B913" s="8" t="n">
        <v>110</v>
      </c>
      <c r="C913" s="9" t="inlineStr">
        <is>
          <t>Memória RAM DDR4 16GB 3200MHz (Modelo 6)</t>
        </is>
      </c>
      <c r="D913" s="9" t="inlineStr">
        <is>
          <t>Componentes</t>
        </is>
      </c>
      <c r="E913" s="10" t="inlineStr">
        <is>
          <t>2024-07-16</t>
        </is>
      </c>
      <c r="F913" s="11" t="n">
        <v>3592</v>
      </c>
      <c r="G913" s="11" t="n">
        <v>3592</v>
      </c>
      <c r="H913" s="11">
        <f>G913-F913</f>
        <v/>
      </c>
      <c r="I913" s="12">
        <f>H913/F913</f>
        <v/>
      </c>
      <c r="J913" s="9" t="inlineStr">
        <is>
          <t>Carlos Eduardo Rocha</t>
        </is>
      </c>
      <c r="K913" s="13" t="inlineStr">
        <is>
          <t>B02</t>
        </is>
      </c>
      <c r="L913" s="13">
        <f>IF(H913=0, "Correto", "Divergente")</f>
        <v/>
      </c>
    </row>
    <row r="914">
      <c r="A914" s="2" t="n">
        <v>913</v>
      </c>
      <c r="B914" s="2" t="n">
        <v>153</v>
      </c>
      <c r="C914" s="3" t="inlineStr">
        <is>
          <t>Monitor 27" Curvo 144Hz (Modelo 4)</t>
        </is>
      </c>
      <c r="D914" s="3" t="inlineStr">
        <is>
          <t>Monitores</t>
        </is>
      </c>
      <c r="E914" s="4" t="inlineStr">
        <is>
          <t>2026-06-27</t>
        </is>
      </c>
      <c r="F914" s="5" t="n">
        <v>2389</v>
      </c>
      <c r="G914" s="5" t="n">
        <v>2625</v>
      </c>
      <c r="H914" s="5">
        <f>G914-F914</f>
        <v/>
      </c>
      <c r="I914" s="6">
        <f>H914/F914</f>
        <v/>
      </c>
      <c r="J914" s="3" t="inlineStr">
        <is>
          <t>Beatriz Castilho</t>
        </is>
      </c>
      <c r="K914" s="7" t="inlineStr">
        <is>
          <t>A01</t>
        </is>
      </c>
      <c r="L914" s="7">
        <f>IF(H914=0, "Correto", "Divergente")</f>
        <v/>
      </c>
    </row>
    <row r="915">
      <c r="A915" s="8" t="n">
        <v>914</v>
      </c>
      <c r="B915" s="8" t="n">
        <v>99</v>
      </c>
      <c r="C915" s="9" t="inlineStr">
        <is>
          <t>Cabo HDMI 2.0 2 metros (Modelo 10)</t>
        </is>
      </c>
      <c r="D915" s="9" t="inlineStr">
        <is>
          <t>Acessórios</t>
        </is>
      </c>
      <c r="E915" s="10" t="inlineStr">
        <is>
          <t>2024-05-12</t>
        </is>
      </c>
      <c r="F915" s="11" t="n">
        <v>359</v>
      </c>
      <c r="G915" s="11" t="n">
        <v>359</v>
      </c>
      <c r="H915" s="11">
        <f>G915-F915</f>
        <v/>
      </c>
      <c r="I915" s="12">
        <f>H915/F915</f>
        <v/>
      </c>
      <c r="J915" s="9" t="inlineStr">
        <is>
          <t>Marcelo Fontes</t>
        </is>
      </c>
      <c r="K915" s="13" t="inlineStr">
        <is>
          <t>A02</t>
        </is>
      </c>
      <c r="L915" s="13">
        <f>IF(H915=0, "Correto", "Divergente")</f>
        <v/>
      </c>
    </row>
    <row r="916">
      <c r="A916" s="2" t="n">
        <v>915</v>
      </c>
      <c r="B916" s="2" t="n">
        <v>137</v>
      </c>
      <c r="C916" s="3" t="inlineStr">
        <is>
          <t>Capa Protetora para Tablet (Modelo 3)</t>
        </is>
      </c>
      <c r="D916" s="3" t="inlineStr">
        <is>
          <t>Smartphones</t>
        </is>
      </c>
      <c r="E916" s="4" t="inlineStr">
        <is>
          <t>2026-09-30</t>
        </is>
      </c>
      <c r="F916" s="5" t="n">
        <v>1120</v>
      </c>
      <c r="G916" s="5" t="n">
        <v>1082</v>
      </c>
      <c r="H916" s="5">
        <f>G916-F916</f>
        <v/>
      </c>
      <c r="I916" s="6">
        <f>H916/F916</f>
        <v/>
      </c>
      <c r="J916" s="3" t="inlineStr">
        <is>
          <t>Gustavo Silveira</t>
        </is>
      </c>
      <c r="K916" s="7" t="inlineStr">
        <is>
          <t>B03</t>
        </is>
      </c>
      <c r="L916" s="7">
        <f>IF(H916=0, "Correto", "Divergente")</f>
        <v/>
      </c>
    </row>
    <row r="917">
      <c r="A917" s="8" t="n">
        <v>916</v>
      </c>
      <c r="B917" s="8" t="n">
        <v>79</v>
      </c>
      <c r="C917" s="9" t="inlineStr">
        <is>
          <t>Cabo DisplayPort 1.4 1.8m (Modelo 5)</t>
        </is>
      </c>
      <c r="D917" s="9" t="inlineStr">
        <is>
          <t>Acessórios</t>
        </is>
      </c>
      <c r="E917" s="10" t="inlineStr">
        <is>
          <t>2025-02-06</t>
        </is>
      </c>
      <c r="F917" s="11" t="n">
        <v>2113</v>
      </c>
      <c r="G917" s="11" t="n">
        <v>2113</v>
      </c>
      <c r="H917" s="11">
        <f>G917-F917</f>
        <v/>
      </c>
      <c r="I917" s="12">
        <f>H917/F917</f>
        <v/>
      </c>
      <c r="J917" s="9" t="inlineStr">
        <is>
          <t>Mariana Alcantara</t>
        </is>
      </c>
      <c r="K917" s="13" t="inlineStr">
        <is>
          <t>B01</t>
        </is>
      </c>
      <c r="L917" s="13">
        <f>IF(H917=0, "Correto", "Divergente")</f>
        <v/>
      </c>
    </row>
    <row r="918">
      <c r="A918" s="2" t="n">
        <v>917</v>
      </c>
      <c r="B918" s="2" t="n">
        <v>176</v>
      </c>
      <c r="C918" s="3" t="inlineStr">
        <is>
          <t>SSD NVMe 1TB M.2 (Modelo 12)</t>
        </is>
      </c>
      <c r="D918" s="3" t="inlineStr">
        <is>
          <t>Armazenamento</t>
        </is>
      </c>
      <c r="E918" s="4" t="inlineStr">
        <is>
          <t>2025-03-12</t>
        </is>
      </c>
      <c r="F918" s="5" t="n">
        <v>3551</v>
      </c>
      <c r="G918" s="5" t="n">
        <v>3551</v>
      </c>
      <c r="H918" s="5">
        <f>G918-F918</f>
        <v/>
      </c>
      <c r="I918" s="6">
        <f>H918/F918</f>
        <v/>
      </c>
      <c r="J918" s="3" t="inlineStr">
        <is>
          <t>Gustavo Silveira</t>
        </is>
      </c>
      <c r="K918" s="7" t="inlineStr">
        <is>
          <t>Depósito Externo</t>
        </is>
      </c>
      <c r="L918" s="7">
        <f>IF(H918=0, "Correto", "Divergente")</f>
        <v/>
      </c>
    </row>
    <row r="919">
      <c r="A919" s="8" t="n">
        <v>918</v>
      </c>
      <c r="B919" s="8" t="n">
        <v>194</v>
      </c>
      <c r="C919" s="9" t="inlineStr">
        <is>
          <t>Multifuncional Tanque de Tinta (Modelo 15)</t>
        </is>
      </c>
      <c r="D919" s="9" t="inlineStr">
        <is>
          <t>Impressão</t>
        </is>
      </c>
      <c r="E919" s="10" t="inlineStr">
        <is>
          <t>2025-09-06</t>
        </is>
      </c>
      <c r="F919" s="11" t="n">
        <v>1568</v>
      </c>
      <c r="G919" s="11" t="n">
        <v>1568</v>
      </c>
      <c r="H919" s="11">
        <f>G919-F919</f>
        <v/>
      </c>
      <c r="I919" s="12">
        <f>H919/F919</f>
        <v/>
      </c>
      <c r="J919" s="9" t="inlineStr">
        <is>
          <t>Marcelo Fontes</t>
        </is>
      </c>
      <c r="K919" s="13" t="inlineStr">
        <is>
          <t>Depósito Externo</t>
        </is>
      </c>
      <c r="L919" s="13">
        <f>IF(H919=0, "Correto", "Divergente")</f>
        <v/>
      </c>
    </row>
    <row r="920">
      <c r="A920" s="2" t="n">
        <v>919</v>
      </c>
      <c r="B920" s="2" t="n">
        <v>156</v>
      </c>
      <c r="C920" s="3" t="inlineStr">
        <is>
          <t>Cartão de Memória MicroSD 128GB (Modelo 7)</t>
        </is>
      </c>
      <c r="D920" s="3" t="inlineStr">
        <is>
          <t>Armazenamento</t>
        </is>
      </c>
      <c r="E920" s="4" t="inlineStr">
        <is>
          <t>2024-09-10</t>
        </is>
      </c>
      <c r="F920" s="5" t="n">
        <v>2119</v>
      </c>
      <c r="G920" s="5" t="n">
        <v>2119</v>
      </c>
      <c r="H920" s="5">
        <f>G920-F920</f>
        <v/>
      </c>
      <c r="I920" s="6">
        <f>H920/F920</f>
        <v/>
      </c>
      <c r="J920" s="3" t="inlineStr">
        <is>
          <t>Gustavo Silveira</t>
        </is>
      </c>
      <c r="K920" s="7" t="inlineStr">
        <is>
          <t>A02</t>
        </is>
      </c>
      <c r="L920" s="7">
        <f>IF(H920=0, "Correto", "Divergente")</f>
        <v/>
      </c>
    </row>
    <row r="921">
      <c r="A921" s="8" t="n">
        <v>920</v>
      </c>
      <c r="B921" s="8" t="n">
        <v>174</v>
      </c>
      <c r="C921" s="9" t="inlineStr">
        <is>
          <t>Cartucho Colorido Premium (Modelo 10)</t>
        </is>
      </c>
      <c r="D921" s="9" t="inlineStr">
        <is>
          <t>Impressão</t>
        </is>
      </c>
      <c r="E921" s="10" t="inlineStr">
        <is>
          <t>2025-02-15</t>
        </is>
      </c>
      <c r="F921" s="11" t="n">
        <v>18</v>
      </c>
      <c r="G921" s="11" t="n">
        <v>18</v>
      </c>
      <c r="H921" s="11">
        <f>G921-F921</f>
        <v/>
      </c>
      <c r="I921" s="12">
        <f>H921/F921</f>
        <v/>
      </c>
      <c r="J921" s="9" t="inlineStr">
        <is>
          <t>Gustavo Silveira</t>
        </is>
      </c>
      <c r="K921" s="13" t="inlineStr">
        <is>
          <t>B01</t>
        </is>
      </c>
      <c r="L921" s="13">
        <f>IF(H921=0, "Correto", "Divergente")</f>
        <v/>
      </c>
    </row>
    <row r="922">
      <c r="A922" s="2" t="n">
        <v>921</v>
      </c>
      <c r="B922" s="2" t="n">
        <v>105</v>
      </c>
      <c r="C922" s="3" t="inlineStr">
        <is>
          <t>Caixa de Som USB 10W (Modelo 1)</t>
        </is>
      </c>
      <c r="D922" s="3" t="inlineStr">
        <is>
          <t>Áudio</t>
        </is>
      </c>
      <c r="E922" s="4" t="inlineStr">
        <is>
          <t>2024-11-17</t>
        </is>
      </c>
      <c r="F922" s="5" t="n">
        <v>3908</v>
      </c>
      <c r="G922" s="5" t="n">
        <v>3908</v>
      </c>
      <c r="H922" s="5">
        <f>G922-F922</f>
        <v/>
      </c>
      <c r="I922" s="6">
        <f>H922/F922</f>
        <v/>
      </c>
      <c r="J922" s="3" t="inlineStr">
        <is>
          <t>Patricia Prado</t>
        </is>
      </c>
      <c r="K922" s="7" t="inlineStr">
        <is>
          <t>A01</t>
        </is>
      </c>
      <c r="L922" s="7">
        <f>IF(H922=0, "Correto", "Divergente")</f>
        <v/>
      </c>
    </row>
    <row r="923">
      <c r="A923" s="8" t="n">
        <v>922</v>
      </c>
      <c r="B923" s="8" t="n">
        <v>9</v>
      </c>
      <c r="C923" s="9" t="inlineStr">
        <is>
          <t>Cabo DisplayPort 1.4 1.8m (Modelo 10)</t>
        </is>
      </c>
      <c r="D923" s="9" t="inlineStr">
        <is>
          <t>Acessórios</t>
        </is>
      </c>
      <c r="E923" s="10" t="inlineStr">
        <is>
          <t>2024-09-10</t>
        </is>
      </c>
      <c r="F923" s="11" t="n">
        <v>3651</v>
      </c>
      <c r="G923" s="11" t="n">
        <v>3651</v>
      </c>
      <c r="H923" s="11">
        <f>G923-F923</f>
        <v/>
      </c>
      <c r="I923" s="12">
        <f>H923/F923</f>
        <v/>
      </c>
      <c r="J923" s="9" t="inlineStr">
        <is>
          <t>Gustavo Silveira</t>
        </is>
      </c>
      <c r="K923" s="13" t="inlineStr">
        <is>
          <t>A02</t>
        </is>
      </c>
      <c r="L923" s="13">
        <f>IF(H923=0, "Correto", "Divergente")</f>
        <v/>
      </c>
    </row>
    <row r="924">
      <c r="A924" s="2" t="n">
        <v>923</v>
      </c>
      <c r="B924" s="2" t="n">
        <v>128</v>
      </c>
      <c r="C924" s="3" t="inlineStr">
        <is>
          <t>Switch Gigabit 16 Portas (Modelo 9)</t>
        </is>
      </c>
      <c r="D924" s="3" t="inlineStr">
        <is>
          <t>Redes</t>
        </is>
      </c>
      <c r="E924" s="4" t="inlineStr">
        <is>
          <t>2024-07-16</t>
        </is>
      </c>
      <c r="F924" s="5" t="n">
        <v>3636</v>
      </c>
      <c r="G924" s="5" t="n">
        <v>3636</v>
      </c>
      <c r="H924" s="5">
        <f>G924-F924</f>
        <v/>
      </c>
      <c r="I924" s="6">
        <f>H924/F924</f>
        <v/>
      </c>
      <c r="J924" s="3" t="inlineStr">
        <is>
          <t>Camila Azevedo</t>
        </is>
      </c>
      <c r="K924" s="7" t="inlineStr">
        <is>
          <t>B03</t>
        </is>
      </c>
      <c r="L924" s="7">
        <f>IF(H924=0, "Correto", "Divergente")</f>
        <v/>
      </c>
    </row>
    <row r="925">
      <c r="A925" s="8" t="n">
        <v>924</v>
      </c>
      <c r="B925" s="8" t="n">
        <v>190</v>
      </c>
      <c r="C925" s="9" t="inlineStr">
        <is>
          <t>Fonte Atx 500W 80 Plus (Modelo 11)</t>
        </is>
      </c>
      <c r="D925" s="9" t="inlineStr">
        <is>
          <t>Componentes</t>
        </is>
      </c>
      <c r="E925" s="10" t="inlineStr">
        <is>
          <t>2026-12-17</t>
        </is>
      </c>
      <c r="F925" s="11" t="n">
        <v>3414</v>
      </c>
      <c r="G925" s="11" t="n">
        <v>3414</v>
      </c>
      <c r="H925" s="11">
        <f>G925-F925</f>
        <v/>
      </c>
      <c r="I925" s="12">
        <f>H925/F925</f>
        <v/>
      </c>
      <c r="J925" s="9" t="inlineStr">
        <is>
          <t>Patricia Prado</t>
        </is>
      </c>
      <c r="K925" s="13" t="inlineStr">
        <is>
          <t>A01</t>
        </is>
      </c>
      <c r="L925" s="13">
        <f>IF(H925=0, "Correto", "Divergente")</f>
        <v/>
      </c>
    </row>
    <row r="926">
      <c r="A926" s="2" t="n">
        <v>925</v>
      </c>
      <c r="B926" s="2" t="n">
        <v>70</v>
      </c>
      <c r="C926" s="3" t="inlineStr">
        <is>
          <t>Fonte Atx 500W 80 Plus (Modelo 11)</t>
        </is>
      </c>
      <c r="D926" s="3" t="inlineStr">
        <is>
          <t>Componentes</t>
        </is>
      </c>
      <c r="E926" s="4" t="inlineStr">
        <is>
          <t>2025-08-26</t>
        </is>
      </c>
      <c r="F926" s="5" t="n">
        <v>4410</v>
      </c>
      <c r="G926" s="5" t="n">
        <v>4410</v>
      </c>
      <c r="H926" s="5">
        <f>G926-F926</f>
        <v/>
      </c>
      <c r="I926" s="6">
        <f>H926/F926</f>
        <v/>
      </c>
      <c r="J926" s="3" t="inlineStr">
        <is>
          <t>Ricardo Mendes</t>
        </is>
      </c>
      <c r="K926" s="7" t="inlineStr">
        <is>
          <t>Depósito Externo</t>
        </is>
      </c>
      <c r="L926" s="7">
        <f>IF(H926=0, "Correto", "Divergente")</f>
        <v/>
      </c>
    </row>
    <row r="927">
      <c r="A927" s="8" t="n">
        <v>926</v>
      </c>
      <c r="B927" s="8" t="n">
        <v>173</v>
      </c>
      <c r="C927" s="9" t="inlineStr">
        <is>
          <t>Monitor 4K 32" Profissional (Modelo 9)</t>
        </is>
      </c>
      <c r="D927" s="9" t="inlineStr">
        <is>
          <t>Monitores</t>
        </is>
      </c>
      <c r="E927" s="10" t="inlineStr">
        <is>
          <t>2024-01-30</t>
        </is>
      </c>
      <c r="F927" s="11" t="n">
        <v>4495</v>
      </c>
      <c r="G927" s="11" t="n">
        <v>4495</v>
      </c>
      <c r="H927" s="11">
        <f>G927-F927</f>
        <v/>
      </c>
      <c r="I927" s="12">
        <f>H927/F927</f>
        <v/>
      </c>
      <c r="J927" s="9" t="inlineStr">
        <is>
          <t>Roberto Fernandes</t>
        </is>
      </c>
      <c r="K927" s="13" t="inlineStr">
        <is>
          <t>A03</t>
        </is>
      </c>
      <c r="L927" s="13">
        <f>IF(H927=0, "Correto", "Divergente")</f>
        <v/>
      </c>
    </row>
    <row r="928">
      <c r="A928" s="2" t="n">
        <v>927</v>
      </c>
      <c r="B928" s="2" t="n">
        <v>197</v>
      </c>
      <c r="C928" s="3" t="inlineStr">
        <is>
          <t>Capa Protetora para Tablet (Modelo 3)</t>
        </is>
      </c>
      <c r="D928" s="3" t="inlineStr">
        <is>
          <t>Smartphones</t>
        </is>
      </c>
      <c r="E928" s="4" t="inlineStr">
        <is>
          <t>2026-01-10</t>
        </is>
      </c>
      <c r="F928" s="5" t="n">
        <v>1479</v>
      </c>
      <c r="G928" s="5" t="n">
        <v>1479</v>
      </c>
      <c r="H928" s="5">
        <f>G928-F928</f>
        <v/>
      </c>
      <c r="I928" s="6">
        <f>H928/F928</f>
        <v/>
      </c>
      <c r="J928" s="3" t="inlineStr">
        <is>
          <t>Gustavo Silveira</t>
        </is>
      </c>
      <c r="K928" s="7" t="inlineStr">
        <is>
          <t>B03</t>
        </is>
      </c>
      <c r="L928" s="7">
        <f>IF(H928=0, "Correto", "Divergente")</f>
        <v/>
      </c>
    </row>
    <row r="929">
      <c r="A929" s="8" t="n">
        <v>928</v>
      </c>
      <c r="B929" s="8" t="n">
        <v>56</v>
      </c>
      <c r="C929" s="9" t="inlineStr">
        <is>
          <t>SSD NVMe 1TB M.2 (Modelo 12)</t>
        </is>
      </c>
      <c r="D929" s="9" t="inlineStr">
        <is>
          <t>Armazenamento</t>
        </is>
      </c>
      <c r="E929" s="10" t="inlineStr">
        <is>
          <t>2026-05-20</t>
        </is>
      </c>
      <c r="F929" s="11" t="n">
        <v>2874</v>
      </c>
      <c r="G929" s="11" t="n">
        <v>2874</v>
      </c>
      <c r="H929" s="11">
        <f>G929-F929</f>
        <v/>
      </c>
      <c r="I929" s="12">
        <f>H929/F929</f>
        <v/>
      </c>
      <c r="J929" s="9" t="inlineStr">
        <is>
          <t>Carlos Eduardo Rocha</t>
        </is>
      </c>
      <c r="K929" s="13" t="inlineStr">
        <is>
          <t>A02</t>
        </is>
      </c>
      <c r="L929" s="13">
        <f>IF(H929=0, "Correto", "Divergente")</f>
        <v/>
      </c>
    </row>
    <row r="930">
      <c r="A930" s="2" t="n">
        <v>929</v>
      </c>
      <c r="B930" s="2" t="n">
        <v>199</v>
      </c>
      <c r="C930" s="3" t="inlineStr">
        <is>
          <t>Filtro de Linha 6 Tomadas (Modelo 5)</t>
        </is>
      </c>
      <c r="D930" s="3" t="inlineStr">
        <is>
          <t>Acessórios</t>
        </is>
      </c>
      <c r="E930" s="4" t="inlineStr">
        <is>
          <t>2026-07-13</t>
        </is>
      </c>
      <c r="F930" s="5" t="n">
        <v>533</v>
      </c>
      <c r="G930" s="5" t="n">
        <v>533</v>
      </c>
      <c r="H930" s="5">
        <f>G930-F930</f>
        <v/>
      </c>
      <c r="I930" s="6">
        <f>H930/F930</f>
        <v/>
      </c>
      <c r="J930" s="3" t="inlineStr">
        <is>
          <t>Beatriz Castilho</t>
        </is>
      </c>
      <c r="K930" s="7" t="inlineStr">
        <is>
          <t>A03</t>
        </is>
      </c>
      <c r="L930" s="7">
        <f>IF(H930=0, "Correto", "Divergente")</f>
        <v/>
      </c>
    </row>
    <row r="931">
      <c r="A931" s="8" t="n">
        <v>930</v>
      </c>
      <c r="B931" s="8" t="n">
        <v>150</v>
      </c>
      <c r="C931" s="9" t="inlineStr">
        <is>
          <t>Cooler para Processador 120mm (Modelo 1)</t>
        </is>
      </c>
      <c r="D931" s="9" t="inlineStr">
        <is>
          <t>Componentes</t>
        </is>
      </c>
      <c r="E931" s="10" t="inlineStr">
        <is>
          <t>2025-10-28</t>
        </is>
      </c>
      <c r="F931" s="11" t="n">
        <v>4970</v>
      </c>
      <c r="G931" s="11" t="n">
        <v>5208</v>
      </c>
      <c r="H931" s="11">
        <f>G931-F931</f>
        <v/>
      </c>
      <c r="I931" s="12">
        <f>H931/F931</f>
        <v/>
      </c>
      <c r="J931" s="9" t="inlineStr">
        <is>
          <t>Ricardo Mendes</t>
        </is>
      </c>
      <c r="K931" s="13" t="inlineStr">
        <is>
          <t>A03</t>
        </is>
      </c>
      <c r="L931" s="13">
        <f>IF(H931=0, "Correto", "Divergente")</f>
        <v/>
      </c>
    </row>
    <row r="932">
      <c r="A932" s="2" t="n">
        <v>931</v>
      </c>
      <c r="B932" s="2" t="n">
        <v>194</v>
      </c>
      <c r="C932" s="3" t="inlineStr">
        <is>
          <t>Multifuncional Tanque de Tinta (Modelo 15)</t>
        </is>
      </c>
      <c r="D932" s="3" t="inlineStr">
        <is>
          <t>Impressão</t>
        </is>
      </c>
      <c r="E932" s="4" t="inlineStr">
        <is>
          <t>2025-11-07</t>
        </is>
      </c>
      <c r="F932" s="5" t="n">
        <v>572</v>
      </c>
      <c r="G932" s="5" t="n">
        <v>547</v>
      </c>
      <c r="H932" s="5">
        <f>G932-F932</f>
        <v/>
      </c>
      <c r="I932" s="6">
        <f>H932/F932</f>
        <v/>
      </c>
      <c r="J932" s="3" t="inlineStr">
        <is>
          <t>Beatriz Castilho</t>
        </is>
      </c>
      <c r="K932" s="7" t="inlineStr">
        <is>
          <t>Depósito Externo</t>
        </is>
      </c>
      <c r="L932" s="7">
        <f>IF(H932=0, "Correto", "Divergente")</f>
        <v/>
      </c>
    </row>
    <row r="933">
      <c r="A933" s="8" t="n">
        <v>932</v>
      </c>
      <c r="B933" s="8" t="n">
        <v>117</v>
      </c>
      <c r="C933" s="9" t="inlineStr">
        <is>
          <t>Tablet 10.1" Wi-Fi 64GB (Modelo 13)</t>
        </is>
      </c>
      <c r="D933" s="9" t="inlineStr">
        <is>
          <t>Smartphones</t>
        </is>
      </c>
      <c r="E933" s="10" t="inlineStr">
        <is>
          <t>2024-05-06</t>
        </is>
      </c>
      <c r="F933" s="11" t="n">
        <v>2216</v>
      </c>
      <c r="G933" s="11" t="n">
        <v>2216</v>
      </c>
      <c r="H933" s="11">
        <f>G933-F933</f>
        <v/>
      </c>
      <c r="I933" s="12">
        <f>H933/F933</f>
        <v/>
      </c>
      <c r="J933" s="9" t="inlineStr">
        <is>
          <t>Camila Azevedo</t>
        </is>
      </c>
      <c r="K933" s="13" t="inlineStr">
        <is>
          <t>C02</t>
        </is>
      </c>
      <c r="L933" s="13">
        <f>IF(H933=0, "Correto", "Divergente")</f>
        <v/>
      </c>
    </row>
    <row r="934">
      <c r="A934" s="2" t="n">
        <v>933</v>
      </c>
      <c r="B934" s="2" t="n">
        <v>115</v>
      </c>
      <c r="C934" s="3" t="inlineStr">
        <is>
          <t>Headset USB com Cancelamento de Ruído (Modelo 11)</t>
        </is>
      </c>
      <c r="D934" s="3" t="inlineStr">
        <is>
          <t>Áudio</t>
        </is>
      </c>
      <c r="E934" s="4" t="inlineStr">
        <is>
          <t>2025-06-13</t>
        </is>
      </c>
      <c r="F934" s="5" t="n">
        <v>1938</v>
      </c>
      <c r="G934" s="5" t="n">
        <v>1938</v>
      </c>
      <c r="H934" s="5">
        <f>G934-F934</f>
        <v/>
      </c>
      <c r="I934" s="6">
        <f>H934/F934</f>
        <v/>
      </c>
      <c r="J934" s="3" t="inlineStr">
        <is>
          <t>Marcelo Fontes</t>
        </is>
      </c>
      <c r="K934" s="7" t="inlineStr">
        <is>
          <t>C03</t>
        </is>
      </c>
      <c r="L934" s="7">
        <f>IF(H934=0, "Correto", "Divergente")</f>
        <v/>
      </c>
    </row>
    <row r="935">
      <c r="A935" s="8" t="n">
        <v>934</v>
      </c>
      <c r="B935" s="8" t="n">
        <v>61</v>
      </c>
      <c r="C935" s="9" t="inlineStr">
        <is>
          <t>Mini PC Ryzen 5 (Modelo 2)</t>
        </is>
      </c>
      <c r="D935" s="9" t="inlineStr">
        <is>
          <t>Informática</t>
        </is>
      </c>
      <c r="E935" s="10" t="inlineStr">
        <is>
          <t>2025-09-14</t>
        </is>
      </c>
      <c r="F935" s="11" t="n">
        <v>3918</v>
      </c>
      <c r="G935" s="11" t="n">
        <v>3818</v>
      </c>
      <c r="H935" s="11">
        <f>G935-F935</f>
        <v/>
      </c>
      <c r="I935" s="12">
        <f>H935/F935</f>
        <v/>
      </c>
      <c r="J935" s="9" t="inlineStr">
        <is>
          <t>Carlos Eduardo Rocha</t>
        </is>
      </c>
      <c r="K935" s="13" t="inlineStr">
        <is>
          <t>B01</t>
        </is>
      </c>
      <c r="L935" s="13">
        <f>IF(H935=0, "Correto", "Divergente")</f>
        <v/>
      </c>
    </row>
    <row r="936">
      <c r="A936" s="2" t="n">
        <v>935</v>
      </c>
      <c r="B936" s="2" t="n">
        <v>103</v>
      </c>
      <c r="C936" s="3" t="inlineStr">
        <is>
          <t>Monitor LED 21.5" Full HD (Modelo 14)</t>
        </is>
      </c>
      <c r="D936" s="3" t="inlineStr">
        <is>
          <t>Monitores</t>
        </is>
      </c>
      <c r="E936" s="4" t="inlineStr">
        <is>
          <t>2024-10-27</t>
        </is>
      </c>
      <c r="F936" s="5" t="n">
        <v>4096</v>
      </c>
      <c r="G936" s="5" t="n">
        <v>4096</v>
      </c>
      <c r="H936" s="5">
        <f>G936-F936</f>
        <v/>
      </c>
      <c r="I936" s="6">
        <f>H936/F936</f>
        <v/>
      </c>
      <c r="J936" s="3" t="inlineStr">
        <is>
          <t>Carlos Eduardo Rocha</t>
        </is>
      </c>
      <c r="K936" s="7" t="inlineStr">
        <is>
          <t>C02</t>
        </is>
      </c>
      <c r="L936" s="7">
        <f>IF(H936=0, "Correto", "Divergente")</f>
        <v/>
      </c>
    </row>
    <row r="937">
      <c r="A937" s="8" t="n">
        <v>936</v>
      </c>
      <c r="B937" s="8" t="n">
        <v>193</v>
      </c>
      <c r="C937" s="9" t="inlineStr">
        <is>
          <t>Monitor LED 21.5" Full HD (Modelo 14)</t>
        </is>
      </c>
      <c r="D937" s="9" t="inlineStr">
        <is>
          <t>Monitores</t>
        </is>
      </c>
      <c r="E937" s="10" t="inlineStr">
        <is>
          <t>2025-03-27</t>
        </is>
      </c>
      <c r="F937" s="11" t="n">
        <v>4146</v>
      </c>
      <c r="G937" s="11" t="n">
        <v>4146</v>
      </c>
      <c r="H937" s="11">
        <f>G937-F937</f>
        <v/>
      </c>
      <c r="I937" s="12">
        <f>H937/F937</f>
        <v/>
      </c>
      <c r="J937" s="9" t="inlineStr">
        <is>
          <t>Gustavo Silveira</t>
        </is>
      </c>
      <c r="K937" s="13" t="inlineStr">
        <is>
          <t>B01</t>
        </is>
      </c>
      <c r="L937" s="13">
        <f>IF(H937=0, "Correto", "Divergente")</f>
        <v/>
      </c>
    </row>
    <row r="938">
      <c r="A938" s="2" t="n">
        <v>937</v>
      </c>
      <c r="B938" s="2" t="n">
        <v>70</v>
      </c>
      <c r="C938" s="3" t="inlineStr">
        <is>
          <t>Fonte Atx 500W 80 Plus (Modelo 11)</t>
        </is>
      </c>
      <c r="D938" s="3" t="inlineStr">
        <is>
          <t>Componentes</t>
        </is>
      </c>
      <c r="E938" s="4" t="inlineStr">
        <is>
          <t>2026-05-20</t>
        </is>
      </c>
      <c r="F938" s="5" t="n">
        <v>1395</v>
      </c>
      <c r="G938" s="5" t="n">
        <v>1395</v>
      </c>
      <c r="H938" s="5">
        <f>G938-F938</f>
        <v/>
      </c>
      <c r="I938" s="6">
        <f>H938/F938</f>
        <v/>
      </c>
      <c r="J938" s="3" t="inlineStr">
        <is>
          <t>Mariana Alcantara</t>
        </is>
      </c>
      <c r="K938" s="7" t="inlineStr">
        <is>
          <t>C03</t>
        </is>
      </c>
      <c r="L938" s="7">
        <f>IF(H938=0, "Correto", "Divergente")</f>
        <v/>
      </c>
    </row>
    <row r="939">
      <c r="A939" s="8" t="n">
        <v>938</v>
      </c>
      <c r="B939" s="8" t="n">
        <v>133</v>
      </c>
      <c r="C939" s="9" t="inlineStr">
        <is>
          <t>Monitor LED 21.5" Full HD (Modelo 14)</t>
        </is>
      </c>
      <c r="D939" s="9" t="inlineStr">
        <is>
          <t>Monitores</t>
        </is>
      </c>
      <c r="E939" s="10" t="inlineStr">
        <is>
          <t>2026-04-10</t>
        </is>
      </c>
      <c r="F939" s="11" t="n">
        <v>4046</v>
      </c>
      <c r="G939" s="11" t="n">
        <v>4134</v>
      </c>
      <c r="H939" s="11">
        <f>G939-F939</f>
        <v/>
      </c>
      <c r="I939" s="12">
        <f>H939/F939</f>
        <v/>
      </c>
      <c r="J939" s="9" t="inlineStr">
        <is>
          <t>Carlos Eduardo Rocha</t>
        </is>
      </c>
      <c r="K939" s="13" t="inlineStr">
        <is>
          <t>A01</t>
        </is>
      </c>
      <c r="L939" s="13">
        <f>IF(H939=0, "Correto", "Divergente")</f>
        <v/>
      </c>
    </row>
    <row r="940">
      <c r="A940" s="2" t="n">
        <v>939</v>
      </c>
      <c r="B940" s="2" t="n">
        <v>28</v>
      </c>
      <c r="C940" s="3" t="inlineStr">
        <is>
          <t>Access Point Wi-Fi Corporativo (Modelo 14)</t>
        </is>
      </c>
      <c r="D940" s="3" t="inlineStr">
        <is>
          <t>Redes</t>
        </is>
      </c>
      <c r="E940" s="4" t="inlineStr">
        <is>
          <t>2026-04-19</t>
        </is>
      </c>
      <c r="F940" s="5" t="n">
        <v>3729</v>
      </c>
      <c r="G940" s="5" t="n">
        <v>3910</v>
      </c>
      <c r="H940" s="5">
        <f>G940-F940</f>
        <v/>
      </c>
      <c r="I940" s="6">
        <f>H940/F940</f>
        <v/>
      </c>
      <c r="J940" s="3" t="inlineStr">
        <is>
          <t>Roberto Fernandes</t>
        </is>
      </c>
      <c r="K940" s="7" t="inlineStr">
        <is>
          <t>A02</t>
        </is>
      </c>
      <c r="L940" s="7">
        <f>IF(H940=0, "Correto", "Divergente")</f>
        <v/>
      </c>
    </row>
    <row r="941">
      <c r="A941" s="8" t="n">
        <v>940</v>
      </c>
      <c r="B941" s="8" t="n">
        <v>138</v>
      </c>
      <c r="C941" s="9" t="inlineStr">
        <is>
          <t>Repetidor Wi-Fi 1200Mbps (Modelo 4)</t>
        </is>
      </c>
      <c r="D941" s="9" t="inlineStr">
        <is>
          <t>Redes</t>
        </is>
      </c>
      <c r="E941" s="10" t="inlineStr">
        <is>
          <t>2026-02-03</t>
        </is>
      </c>
      <c r="F941" s="11" t="n">
        <v>1352</v>
      </c>
      <c r="G941" s="11" t="n">
        <v>1352</v>
      </c>
      <c r="H941" s="11">
        <f>G941-F941</f>
        <v/>
      </c>
      <c r="I941" s="12">
        <f>H941/F941</f>
        <v/>
      </c>
      <c r="J941" s="9" t="inlineStr">
        <is>
          <t>Mariana Alcantara</t>
        </is>
      </c>
      <c r="K941" s="13" t="inlineStr">
        <is>
          <t>B01</t>
        </is>
      </c>
      <c r="L941" s="13">
        <f>IF(H941=0, "Correto", "Divergente")</f>
        <v/>
      </c>
    </row>
    <row r="942">
      <c r="A942" s="2" t="n">
        <v>941</v>
      </c>
      <c r="B942" s="2" t="n">
        <v>99</v>
      </c>
      <c r="C942" s="3" t="inlineStr">
        <is>
          <t>Cabo HDMI 2.0 2 metros (Modelo 10)</t>
        </is>
      </c>
      <c r="D942" s="3" t="inlineStr">
        <is>
          <t>Acessórios</t>
        </is>
      </c>
      <c r="E942" s="4" t="inlineStr">
        <is>
          <t>2026-10-18</t>
        </is>
      </c>
      <c r="F942" s="5" t="n">
        <v>3401</v>
      </c>
      <c r="G942" s="5" t="n">
        <v>3401</v>
      </c>
      <c r="H942" s="5">
        <f>G942-F942</f>
        <v/>
      </c>
      <c r="I942" s="6">
        <f>H942/F942</f>
        <v/>
      </c>
      <c r="J942" s="3" t="inlineStr">
        <is>
          <t>Mariana Alcantara</t>
        </is>
      </c>
      <c r="K942" s="7" t="inlineStr">
        <is>
          <t>C03</t>
        </is>
      </c>
      <c r="L942" s="7">
        <f>IF(H942=0, "Correto", "Divergente")</f>
        <v/>
      </c>
    </row>
    <row r="943">
      <c r="A943" s="8" t="n">
        <v>942</v>
      </c>
      <c r="B943" s="8" t="n">
        <v>81</v>
      </c>
      <c r="C943" s="9" t="inlineStr">
        <is>
          <t>Notebook Corporate i5 16GB (Modelo 7)</t>
        </is>
      </c>
      <c r="D943" s="9" t="inlineStr">
        <is>
          <t>Informática</t>
        </is>
      </c>
      <c r="E943" s="10" t="inlineStr">
        <is>
          <t>2026-11-07</t>
        </is>
      </c>
      <c r="F943" s="11" t="n">
        <v>282</v>
      </c>
      <c r="G943" s="11" t="n">
        <v>311</v>
      </c>
      <c r="H943" s="11">
        <f>G943-F943</f>
        <v/>
      </c>
      <c r="I943" s="12">
        <f>H943/F943</f>
        <v/>
      </c>
      <c r="J943" s="9" t="inlineStr">
        <is>
          <t>Beatriz Castilho</t>
        </is>
      </c>
      <c r="K943" s="13" t="inlineStr">
        <is>
          <t>B02</t>
        </is>
      </c>
      <c r="L943" s="13">
        <f>IF(H943=0, "Correto", "Divergente")</f>
        <v/>
      </c>
    </row>
    <row r="944">
      <c r="A944" s="2" t="n">
        <v>943</v>
      </c>
      <c r="B944" s="2" t="n">
        <v>2</v>
      </c>
      <c r="C944" s="3" t="inlineStr">
        <is>
          <t>Teclado Sem Fio Ergológico (Modelo 3)</t>
        </is>
      </c>
      <c r="D944" s="3" t="inlineStr">
        <is>
          <t>Periféricos</t>
        </is>
      </c>
      <c r="E944" s="4" t="inlineStr">
        <is>
          <t>2025-06-10</t>
        </is>
      </c>
      <c r="F944" s="5" t="n">
        <v>4468</v>
      </c>
      <c r="G944" s="5" t="n">
        <v>4468</v>
      </c>
      <c r="H944" s="5">
        <f>G944-F944</f>
        <v/>
      </c>
      <c r="I944" s="6">
        <f>H944/F944</f>
        <v/>
      </c>
      <c r="J944" s="3" t="inlineStr">
        <is>
          <t>Beatriz Castilho</t>
        </is>
      </c>
      <c r="K944" s="7" t="inlineStr">
        <is>
          <t>A01</t>
        </is>
      </c>
      <c r="L944" s="7">
        <f>IF(H944=0, "Correto", "Divergente")</f>
        <v/>
      </c>
    </row>
    <row r="945">
      <c r="A945" s="8" t="n">
        <v>944</v>
      </c>
      <c r="B945" s="8" t="n">
        <v>159</v>
      </c>
      <c r="C945" s="9" t="inlineStr">
        <is>
          <t>Hub USB-C 7 em 1 (Modelo 10)</t>
        </is>
      </c>
      <c r="D945" s="9" t="inlineStr">
        <is>
          <t>Acessórios</t>
        </is>
      </c>
      <c r="E945" s="10" t="inlineStr">
        <is>
          <t>2024-05-15</t>
        </is>
      </c>
      <c r="F945" s="11" t="n">
        <v>2331</v>
      </c>
      <c r="G945" s="11" t="n">
        <v>2331</v>
      </c>
      <c r="H945" s="11">
        <f>G945-F945</f>
        <v/>
      </c>
      <c r="I945" s="12">
        <f>H945/F945</f>
        <v/>
      </c>
      <c r="J945" s="9" t="inlineStr">
        <is>
          <t>Ricardo Mendes</t>
        </is>
      </c>
      <c r="K945" s="13" t="inlineStr">
        <is>
          <t>C03</t>
        </is>
      </c>
      <c r="L945" s="13">
        <f>IF(H945=0, "Correto", "Divergente")</f>
        <v/>
      </c>
    </row>
    <row r="946">
      <c r="A946" s="2" t="n">
        <v>945</v>
      </c>
      <c r="B946" s="2" t="n">
        <v>6</v>
      </c>
      <c r="C946" s="3" t="inlineStr">
        <is>
          <t>Cartão de Memória MicroSD 128GB (Modelo 7)</t>
        </is>
      </c>
      <c r="D946" s="3" t="inlineStr">
        <is>
          <t>Armazenamento</t>
        </is>
      </c>
      <c r="E946" s="4" t="inlineStr">
        <is>
          <t>2024-11-26</t>
        </is>
      </c>
      <c r="F946" s="5" t="n">
        <v>142</v>
      </c>
      <c r="G946" s="5" t="n">
        <v>142</v>
      </c>
      <c r="H946" s="5">
        <f>G946-F946</f>
        <v/>
      </c>
      <c r="I946" s="6">
        <f>H946/F946</f>
        <v/>
      </c>
      <c r="J946" s="3" t="inlineStr">
        <is>
          <t>Marcelo Fontes</t>
        </is>
      </c>
      <c r="K946" s="7" t="inlineStr">
        <is>
          <t>C01</t>
        </is>
      </c>
      <c r="L946" s="7">
        <f>IF(H946=0, "Correto", "Divergente")</f>
        <v/>
      </c>
    </row>
    <row r="947">
      <c r="A947" s="8" t="n">
        <v>946</v>
      </c>
      <c r="B947" s="8" t="n">
        <v>39</v>
      </c>
      <c r="C947" s="9" t="inlineStr">
        <is>
          <t>Nobreak 1200VA Bivolt (Modelo 10)</t>
        </is>
      </c>
      <c r="D947" s="9" t="inlineStr">
        <is>
          <t>Acessórios</t>
        </is>
      </c>
      <c r="E947" s="10" t="inlineStr">
        <is>
          <t>2024-04-07</t>
        </is>
      </c>
      <c r="F947" s="11" t="n">
        <v>1133</v>
      </c>
      <c r="G947" s="11" t="n">
        <v>1087</v>
      </c>
      <c r="H947" s="11">
        <f>G947-F947</f>
        <v/>
      </c>
      <c r="I947" s="12">
        <f>H947/F947</f>
        <v/>
      </c>
      <c r="J947" s="9" t="inlineStr">
        <is>
          <t>Ricardo Mendes</t>
        </is>
      </c>
      <c r="K947" s="13" t="inlineStr">
        <is>
          <t>A03</t>
        </is>
      </c>
      <c r="L947" s="13">
        <f>IF(H947=0, "Correto", "Divergente")</f>
        <v/>
      </c>
    </row>
    <row r="948">
      <c r="A948" s="2" t="n">
        <v>947</v>
      </c>
      <c r="B948" s="2" t="n">
        <v>198</v>
      </c>
      <c r="C948" s="3" t="inlineStr">
        <is>
          <t>Repetidor Wi-Fi 1200Mbps (Modelo 4)</t>
        </is>
      </c>
      <c r="D948" s="3" t="inlineStr">
        <is>
          <t>Redes</t>
        </is>
      </c>
      <c r="E948" s="4" t="inlineStr">
        <is>
          <t>2025-06-28</t>
        </is>
      </c>
      <c r="F948" s="5" t="n">
        <v>1202</v>
      </c>
      <c r="G948" s="5" t="n">
        <v>1312</v>
      </c>
      <c r="H948" s="5">
        <f>G948-F948</f>
        <v/>
      </c>
      <c r="I948" s="6">
        <f>H948/F948</f>
        <v/>
      </c>
      <c r="J948" s="3" t="inlineStr">
        <is>
          <t>Fernanda Vasconcelos</t>
        </is>
      </c>
      <c r="K948" s="7" t="inlineStr">
        <is>
          <t>A01</t>
        </is>
      </c>
      <c r="L948" s="7">
        <f>IF(H948=0, "Correto", "Divergente")</f>
        <v/>
      </c>
    </row>
    <row r="949">
      <c r="A949" s="8" t="n">
        <v>948</v>
      </c>
      <c r="B949" s="8" t="n">
        <v>177</v>
      </c>
      <c r="C949" s="9" t="inlineStr">
        <is>
          <t>Tablet 10.1" Wi-Fi 64GB (Modelo 13)</t>
        </is>
      </c>
      <c r="D949" s="9" t="inlineStr">
        <is>
          <t>Smartphones</t>
        </is>
      </c>
      <c r="E949" s="10" t="inlineStr">
        <is>
          <t>2024-06-09</t>
        </is>
      </c>
      <c r="F949" s="11" t="n">
        <v>160</v>
      </c>
      <c r="G949" s="11" t="n">
        <v>160</v>
      </c>
      <c r="H949" s="11">
        <f>G949-F949</f>
        <v/>
      </c>
      <c r="I949" s="12">
        <f>H949/F949</f>
        <v/>
      </c>
      <c r="J949" s="9" t="inlineStr">
        <is>
          <t>Beatriz Castilho</t>
        </is>
      </c>
      <c r="K949" s="13" t="inlineStr">
        <is>
          <t>C02</t>
        </is>
      </c>
      <c r="L949" s="13">
        <f>IF(H949=0, "Correto", "Divergente")</f>
        <v/>
      </c>
    </row>
    <row r="950">
      <c r="A950" s="2" t="n">
        <v>949</v>
      </c>
      <c r="B950" s="2" t="n">
        <v>88</v>
      </c>
      <c r="C950" s="3" t="inlineStr">
        <is>
          <t>Access Point Wi-Fi Corporativo (Modelo 14)</t>
        </is>
      </c>
      <c r="D950" s="3" t="inlineStr">
        <is>
          <t>Redes</t>
        </is>
      </c>
      <c r="E950" s="4" t="inlineStr">
        <is>
          <t>2026-10-27</t>
        </is>
      </c>
      <c r="F950" s="5" t="n">
        <v>2635</v>
      </c>
      <c r="G950" s="5" t="n">
        <v>2635</v>
      </c>
      <c r="H950" s="5">
        <f>G950-F950</f>
        <v/>
      </c>
      <c r="I950" s="6">
        <f>H950/F950</f>
        <v/>
      </c>
      <c r="J950" s="3" t="inlineStr">
        <is>
          <t>Roberto Fernandes</t>
        </is>
      </c>
      <c r="K950" s="7" t="inlineStr">
        <is>
          <t>C03</t>
        </is>
      </c>
      <c r="L950" s="7">
        <f>IF(H950=0, "Correto", "Divergente")</f>
        <v/>
      </c>
    </row>
    <row r="951">
      <c r="A951" s="8" t="n">
        <v>950</v>
      </c>
      <c r="B951" s="8" t="n">
        <v>122</v>
      </c>
      <c r="C951" s="9" t="inlineStr">
        <is>
          <t>Mouse Óptico USB (Modelo 3)</t>
        </is>
      </c>
      <c r="D951" s="9" t="inlineStr">
        <is>
          <t>Periféricos</t>
        </is>
      </c>
      <c r="E951" s="10" t="inlineStr">
        <is>
          <t>2026-09-14</t>
        </is>
      </c>
      <c r="F951" s="11" t="n">
        <v>709</v>
      </c>
      <c r="G951" s="11" t="n">
        <v>709</v>
      </c>
      <c r="H951" s="11">
        <f>G951-F951</f>
        <v/>
      </c>
      <c r="I951" s="12">
        <f>H951/F951</f>
        <v/>
      </c>
      <c r="J951" s="9" t="inlineStr">
        <is>
          <t>Patricia Prado</t>
        </is>
      </c>
      <c r="K951" s="13" t="inlineStr">
        <is>
          <t>A03</t>
        </is>
      </c>
      <c r="L951" s="13">
        <f>IF(H951=0, "Correto", "Divergente")</f>
        <v/>
      </c>
    </row>
    <row r="952">
      <c r="A952" s="2" t="n">
        <v>951</v>
      </c>
      <c r="B952" s="2" t="n">
        <v>22</v>
      </c>
      <c r="C952" s="3" t="inlineStr">
        <is>
          <t>Teclado Mecânico RGB (Modelo 8)</t>
        </is>
      </c>
      <c r="D952" s="3" t="inlineStr">
        <is>
          <t>Periféricos</t>
        </is>
      </c>
      <c r="E952" s="4" t="inlineStr">
        <is>
          <t>2024-05-09</t>
        </is>
      </c>
      <c r="F952" s="5" t="n">
        <v>33</v>
      </c>
      <c r="G952" s="5" t="n">
        <v>32</v>
      </c>
      <c r="H952" s="5">
        <f>G952-F952</f>
        <v/>
      </c>
      <c r="I952" s="6">
        <f>H952/F952</f>
        <v/>
      </c>
      <c r="J952" s="3" t="inlineStr">
        <is>
          <t>Camila Azevedo</t>
        </is>
      </c>
      <c r="K952" s="7" t="inlineStr">
        <is>
          <t>A01</t>
        </is>
      </c>
      <c r="L952" s="7">
        <f>IF(H952=0, "Correto", "Divergente")</f>
        <v/>
      </c>
    </row>
    <row r="953">
      <c r="A953" s="8" t="n">
        <v>952</v>
      </c>
      <c r="B953" s="8" t="n">
        <v>153</v>
      </c>
      <c r="C953" s="9" t="inlineStr">
        <is>
          <t>Monitor 27" Curvo 144Hz (Modelo 4)</t>
        </is>
      </c>
      <c r="D953" s="9" t="inlineStr">
        <is>
          <t>Monitores</t>
        </is>
      </c>
      <c r="E953" s="10" t="inlineStr">
        <is>
          <t>2025-04-13</t>
        </is>
      </c>
      <c r="F953" s="11" t="n">
        <v>187</v>
      </c>
      <c r="G953" s="11" t="n">
        <v>187</v>
      </c>
      <c r="H953" s="11">
        <f>G953-F953</f>
        <v/>
      </c>
      <c r="I953" s="12">
        <f>H953/F953</f>
        <v/>
      </c>
      <c r="J953" s="9" t="inlineStr">
        <is>
          <t>Fernanda Vasconcelos</t>
        </is>
      </c>
      <c r="K953" s="13" t="inlineStr">
        <is>
          <t>A01</t>
        </is>
      </c>
      <c r="L953" s="13">
        <f>IF(H953=0, "Correto", "Divergente")</f>
        <v/>
      </c>
    </row>
    <row r="954">
      <c r="A954" s="2" t="n">
        <v>953</v>
      </c>
      <c r="B954" s="2" t="n">
        <v>79</v>
      </c>
      <c r="C954" s="3" t="inlineStr">
        <is>
          <t>Cabo DisplayPort 1.4 1.8m (Modelo 5)</t>
        </is>
      </c>
      <c r="D954" s="3" t="inlineStr">
        <is>
          <t>Acessórios</t>
        </is>
      </c>
      <c r="E954" s="4" t="inlineStr">
        <is>
          <t>2024-03-04</t>
        </is>
      </c>
      <c r="F954" s="5" t="n">
        <v>3837</v>
      </c>
      <c r="G954" s="5" t="n">
        <v>3837</v>
      </c>
      <c r="H954" s="5">
        <f>G954-F954</f>
        <v/>
      </c>
      <c r="I954" s="6">
        <f>H954/F954</f>
        <v/>
      </c>
      <c r="J954" s="3" t="inlineStr">
        <is>
          <t>Fernanda Vasconcelos</t>
        </is>
      </c>
      <c r="K954" s="7" t="inlineStr">
        <is>
          <t>C01</t>
        </is>
      </c>
      <c r="L954" s="7">
        <f>IF(H954=0, "Correto", "Divergente")</f>
        <v/>
      </c>
    </row>
    <row r="955">
      <c r="A955" s="8" t="n">
        <v>954</v>
      </c>
      <c r="B955" s="8" t="n">
        <v>13</v>
      </c>
      <c r="C955" s="9" t="inlineStr">
        <is>
          <t>Monitor LED 21.5" Full HD (Modelo 14)</t>
        </is>
      </c>
      <c r="D955" s="9" t="inlineStr">
        <is>
          <t>Monitores</t>
        </is>
      </c>
      <c r="E955" s="10" t="inlineStr">
        <is>
          <t>2024-07-04</t>
        </is>
      </c>
      <c r="F955" s="11" t="n">
        <v>1765</v>
      </c>
      <c r="G955" s="11" t="n">
        <v>1765</v>
      </c>
      <c r="H955" s="11">
        <f>G955-F955</f>
        <v/>
      </c>
      <c r="I955" s="12">
        <f>H955/F955</f>
        <v/>
      </c>
      <c r="J955" s="9" t="inlineStr">
        <is>
          <t>Roberto Fernandes</t>
        </is>
      </c>
      <c r="K955" s="13" t="inlineStr">
        <is>
          <t>B03</t>
        </is>
      </c>
      <c r="L955" s="13">
        <f>IF(H955=0, "Correto", "Divergente")</f>
        <v/>
      </c>
    </row>
    <row r="956">
      <c r="A956" s="2" t="n">
        <v>955</v>
      </c>
      <c r="B956" s="2" t="n">
        <v>57</v>
      </c>
      <c r="C956" s="3" t="inlineStr">
        <is>
          <t>Tablet 10.1" Wi-Fi 64GB (Modelo 13)</t>
        </is>
      </c>
      <c r="D956" s="3" t="inlineStr">
        <is>
          <t>Smartphones</t>
        </is>
      </c>
      <c r="E956" s="4" t="inlineStr">
        <is>
          <t>2026-01-29</t>
        </is>
      </c>
      <c r="F956" s="5" t="n">
        <v>4968</v>
      </c>
      <c r="G956" s="5" t="n">
        <v>4952</v>
      </c>
      <c r="H956" s="5">
        <f>G956-F956</f>
        <v/>
      </c>
      <c r="I956" s="6">
        <f>H956/F956</f>
        <v/>
      </c>
      <c r="J956" s="3" t="inlineStr">
        <is>
          <t>Fernanda Vasconcelos</t>
        </is>
      </c>
      <c r="K956" s="7" t="inlineStr">
        <is>
          <t>B01</t>
        </is>
      </c>
      <c r="L956" s="7">
        <f>IF(H956=0, "Correto", "Divergente")</f>
        <v/>
      </c>
    </row>
    <row r="957">
      <c r="A957" s="8" t="n">
        <v>956</v>
      </c>
      <c r="B957" s="8" t="n">
        <v>171</v>
      </c>
      <c r="C957" s="9" t="inlineStr">
        <is>
          <t>Desktop Core i5 8GB (Modelo 7)</t>
        </is>
      </c>
      <c r="D957" s="9" t="inlineStr">
        <is>
          <t>Informática</t>
        </is>
      </c>
      <c r="E957" s="10" t="inlineStr">
        <is>
          <t>2026-03-02</t>
        </is>
      </c>
      <c r="F957" s="11" t="n">
        <v>3113</v>
      </c>
      <c r="G957" s="11" t="n">
        <v>3113</v>
      </c>
      <c r="H957" s="11">
        <f>G957-F957</f>
        <v/>
      </c>
      <c r="I957" s="12">
        <f>H957/F957</f>
        <v/>
      </c>
      <c r="J957" s="9" t="inlineStr">
        <is>
          <t>Marcelo Fontes</t>
        </is>
      </c>
      <c r="K957" s="13" t="inlineStr">
        <is>
          <t>C02</t>
        </is>
      </c>
      <c r="L957" s="13">
        <f>IF(H957=0, "Correto", "Divergente")</f>
        <v/>
      </c>
    </row>
    <row r="958">
      <c r="A958" s="2" t="n">
        <v>957</v>
      </c>
      <c r="B958" s="2" t="n">
        <v>108</v>
      </c>
      <c r="C958" s="3" t="inlineStr">
        <is>
          <t>Repetidor Wi-Fi 1200Mbps (Modelo 4)</t>
        </is>
      </c>
      <c r="D958" s="3" t="inlineStr">
        <is>
          <t>Redes</t>
        </is>
      </c>
      <c r="E958" s="4" t="inlineStr">
        <is>
          <t>2026-07-17</t>
        </is>
      </c>
      <c r="F958" s="5" t="n">
        <v>3032</v>
      </c>
      <c r="G958" s="5" t="n">
        <v>2892</v>
      </c>
      <c r="H958" s="5">
        <f>G958-F958</f>
        <v/>
      </c>
      <c r="I958" s="6">
        <f>H958/F958</f>
        <v/>
      </c>
      <c r="J958" s="3" t="inlineStr">
        <is>
          <t>Ricardo Mendes</t>
        </is>
      </c>
      <c r="K958" s="7" t="inlineStr">
        <is>
          <t>C03</t>
        </is>
      </c>
      <c r="L958" s="7">
        <f>IF(H958=0, "Correto", "Divergente")</f>
        <v/>
      </c>
    </row>
    <row r="959">
      <c r="A959" s="8" t="n">
        <v>958</v>
      </c>
      <c r="B959" s="8" t="n">
        <v>99</v>
      </c>
      <c r="C959" s="9" t="inlineStr">
        <is>
          <t>Cabo HDMI 2.0 2 metros (Modelo 10)</t>
        </is>
      </c>
      <c r="D959" s="9" t="inlineStr">
        <is>
          <t>Acessórios</t>
        </is>
      </c>
      <c r="E959" s="10" t="inlineStr">
        <is>
          <t>2025-10-19</t>
        </is>
      </c>
      <c r="F959" s="11" t="n">
        <v>1042</v>
      </c>
      <c r="G959" s="11" t="n">
        <v>1042</v>
      </c>
      <c r="H959" s="11">
        <f>G959-F959</f>
        <v/>
      </c>
      <c r="I959" s="12">
        <f>H959/F959</f>
        <v/>
      </c>
      <c r="J959" s="9" t="inlineStr">
        <is>
          <t>Gustavo Silveira</t>
        </is>
      </c>
      <c r="K959" s="13" t="inlineStr">
        <is>
          <t>B03</t>
        </is>
      </c>
      <c r="L959" s="13">
        <f>IF(H959=0, "Correto", "Divergente")</f>
        <v/>
      </c>
    </row>
    <row r="960">
      <c r="A960" s="2" t="n">
        <v>959</v>
      </c>
      <c r="B960" s="2" t="n">
        <v>11</v>
      </c>
      <c r="C960" s="3" t="inlineStr">
        <is>
          <t>Desktop Core i5 8GB (Modelo 12)</t>
        </is>
      </c>
      <c r="D960" s="3" t="inlineStr">
        <is>
          <t>Informática</t>
        </is>
      </c>
      <c r="E960" s="4" t="inlineStr">
        <is>
          <t>2024-01-12</t>
        </is>
      </c>
      <c r="F960" s="5" t="n">
        <v>3434</v>
      </c>
      <c r="G960" s="5" t="n">
        <v>3434</v>
      </c>
      <c r="H960" s="5">
        <f>G960-F960</f>
        <v/>
      </c>
      <c r="I960" s="6">
        <f>H960/F960</f>
        <v/>
      </c>
      <c r="J960" s="3" t="inlineStr">
        <is>
          <t>Marcelo Fontes</t>
        </is>
      </c>
      <c r="K960" s="7" t="inlineStr">
        <is>
          <t>B03</t>
        </is>
      </c>
      <c r="L960" s="7">
        <f>IF(H960=0, "Correto", "Divergente")</f>
        <v/>
      </c>
    </row>
    <row r="961">
      <c r="A961" s="8" t="n">
        <v>960</v>
      </c>
      <c r="B961" s="8" t="n">
        <v>80</v>
      </c>
      <c r="C961" s="9" t="inlineStr">
        <is>
          <t>Memória RAM DDR4 16GB 3200MHz (Modelo 6)</t>
        </is>
      </c>
      <c r="D961" s="9" t="inlineStr">
        <is>
          <t>Componentes</t>
        </is>
      </c>
      <c r="E961" s="10" t="inlineStr">
        <is>
          <t>2025-01-29</t>
        </is>
      </c>
      <c r="F961" s="11" t="n">
        <v>4035</v>
      </c>
      <c r="G961" s="11" t="n">
        <v>4035</v>
      </c>
      <c r="H961" s="11">
        <f>G961-F961</f>
        <v/>
      </c>
      <c r="I961" s="12">
        <f>H961/F961</f>
        <v/>
      </c>
      <c r="J961" s="9" t="inlineStr">
        <is>
          <t>Mariana Alcantara</t>
        </is>
      </c>
      <c r="K961" s="13" t="inlineStr">
        <is>
          <t>B02</t>
        </is>
      </c>
      <c r="L961" s="13">
        <f>IF(H961=0, "Correto", "Divergente")</f>
        <v/>
      </c>
    </row>
    <row r="962">
      <c r="A962" s="2" t="n">
        <v>961</v>
      </c>
      <c r="B962" s="2" t="n">
        <v>146</v>
      </c>
      <c r="C962" s="3" t="inlineStr">
        <is>
          <t>SSD NVMe 1TB M.2 (Modelo 12)</t>
        </is>
      </c>
      <c r="D962" s="3" t="inlineStr">
        <is>
          <t>Armazenamento</t>
        </is>
      </c>
      <c r="E962" s="4" t="inlineStr">
        <is>
          <t>2025-12-28</t>
        </is>
      </c>
      <c r="F962" s="5" t="n">
        <v>4608</v>
      </c>
      <c r="G962" s="5" t="n">
        <v>4608</v>
      </c>
      <c r="H962" s="5">
        <f>G962-F962</f>
        <v/>
      </c>
      <c r="I962" s="6">
        <f>H962/F962</f>
        <v/>
      </c>
      <c r="J962" s="3" t="inlineStr">
        <is>
          <t>Roberto Fernandes</t>
        </is>
      </c>
      <c r="K962" s="7" t="inlineStr">
        <is>
          <t>Depósito Externo</t>
        </is>
      </c>
      <c r="L962" s="7">
        <f>IF(H962=0, "Correto", "Divergente")</f>
        <v/>
      </c>
    </row>
    <row r="963">
      <c r="A963" s="8" t="n">
        <v>962</v>
      </c>
      <c r="B963" s="8" t="n">
        <v>106</v>
      </c>
      <c r="C963" s="9" t="inlineStr">
        <is>
          <t>HD Externo Portátil 2TB (Modelo 2)</t>
        </is>
      </c>
      <c r="D963" s="9" t="inlineStr">
        <is>
          <t>Armazenamento</t>
        </is>
      </c>
      <c r="E963" s="10" t="inlineStr">
        <is>
          <t>2024-09-29</t>
        </is>
      </c>
      <c r="F963" s="11" t="n">
        <v>4196</v>
      </c>
      <c r="G963" s="11" t="n">
        <v>3955</v>
      </c>
      <c r="H963" s="11">
        <f>G963-F963</f>
        <v/>
      </c>
      <c r="I963" s="12">
        <f>H963/F963</f>
        <v/>
      </c>
      <c r="J963" s="9" t="inlineStr">
        <is>
          <t>Beatriz Castilho</t>
        </is>
      </c>
      <c r="K963" s="13" t="inlineStr">
        <is>
          <t>A02</t>
        </is>
      </c>
      <c r="L963" s="13">
        <f>IF(H963=0, "Correto", "Divergente")</f>
        <v/>
      </c>
    </row>
    <row r="964">
      <c r="A964" s="2" t="n">
        <v>963</v>
      </c>
      <c r="B964" s="2" t="n">
        <v>139</v>
      </c>
      <c r="C964" s="3" t="inlineStr">
        <is>
          <t>Mochila para Notebook 15.6" (Modelo 5)</t>
        </is>
      </c>
      <c r="D964" s="3" t="inlineStr">
        <is>
          <t>Acessórios</t>
        </is>
      </c>
      <c r="E964" s="4" t="inlineStr">
        <is>
          <t>2026-03-24</t>
        </is>
      </c>
      <c r="F964" s="5" t="n">
        <v>157</v>
      </c>
      <c r="G964" s="5" t="n">
        <v>157</v>
      </c>
      <c r="H964" s="5">
        <f>G964-F964</f>
        <v/>
      </c>
      <c r="I964" s="6">
        <f>H964/F964</f>
        <v/>
      </c>
      <c r="J964" s="3" t="inlineStr">
        <is>
          <t>Camila Azevedo</t>
        </is>
      </c>
      <c r="K964" s="7" t="inlineStr">
        <is>
          <t>B01</t>
        </is>
      </c>
      <c r="L964" s="7">
        <f>IF(H964=0, "Correto", "Divergente")</f>
        <v/>
      </c>
    </row>
    <row r="965">
      <c r="A965" s="8" t="n">
        <v>964</v>
      </c>
      <c r="B965" s="8" t="n">
        <v>60</v>
      </c>
      <c r="C965" s="9" t="inlineStr">
        <is>
          <t>Cooler para Processador 120mm (Modelo 1)</t>
        </is>
      </c>
      <c r="D965" s="9" t="inlineStr">
        <is>
          <t>Componentes</t>
        </is>
      </c>
      <c r="E965" s="10" t="inlineStr">
        <is>
          <t>2024-11-22</t>
        </is>
      </c>
      <c r="F965" s="11" t="n">
        <v>1144</v>
      </c>
      <c r="G965" s="11" t="n">
        <v>1094</v>
      </c>
      <c r="H965" s="11">
        <f>G965-F965</f>
        <v/>
      </c>
      <c r="I965" s="12">
        <f>H965/F965</f>
        <v/>
      </c>
      <c r="J965" s="9" t="inlineStr">
        <is>
          <t>Fernanda Vasconcelos</t>
        </is>
      </c>
      <c r="K965" s="13" t="inlineStr">
        <is>
          <t>A03</t>
        </is>
      </c>
      <c r="L965" s="13">
        <f>IF(H965=0, "Correto", "Divergente")</f>
        <v/>
      </c>
    </row>
    <row r="966">
      <c r="A966" s="2" t="n">
        <v>965</v>
      </c>
      <c r="B966" s="2" t="n">
        <v>128</v>
      </c>
      <c r="C966" s="3" t="inlineStr">
        <is>
          <t>Switch Gigabit 16 Portas (Modelo 9)</t>
        </is>
      </c>
      <c r="D966" s="3" t="inlineStr">
        <is>
          <t>Redes</t>
        </is>
      </c>
      <c r="E966" s="4" t="inlineStr">
        <is>
          <t>2024-03-08</t>
        </is>
      </c>
      <c r="F966" s="5" t="n">
        <v>4457</v>
      </c>
      <c r="G966" s="5" t="n">
        <v>4472</v>
      </c>
      <c r="H966" s="5">
        <f>G966-F966</f>
        <v/>
      </c>
      <c r="I966" s="6">
        <f>H966/F966</f>
        <v/>
      </c>
      <c r="J966" s="3" t="inlineStr">
        <is>
          <t>Fernanda Vasconcelos</t>
        </is>
      </c>
      <c r="K966" s="7" t="inlineStr">
        <is>
          <t>C01</t>
        </is>
      </c>
      <c r="L966" s="7">
        <f>IF(H966=0, "Correto", "Divergente")</f>
        <v/>
      </c>
    </row>
    <row r="967">
      <c r="A967" s="8" t="n">
        <v>966</v>
      </c>
      <c r="B967" s="8" t="n">
        <v>22</v>
      </c>
      <c r="C967" s="9" t="inlineStr">
        <is>
          <t>Teclado Mecânico RGB (Modelo 8)</t>
        </is>
      </c>
      <c r="D967" s="9" t="inlineStr">
        <is>
          <t>Periféricos</t>
        </is>
      </c>
      <c r="E967" s="10" t="inlineStr">
        <is>
          <t>2025-05-02</t>
        </is>
      </c>
      <c r="F967" s="11" t="n">
        <v>2734</v>
      </c>
      <c r="G967" s="11" t="n">
        <v>2734</v>
      </c>
      <c r="H967" s="11">
        <f>G967-F967</f>
        <v/>
      </c>
      <c r="I967" s="12">
        <f>H967/F967</f>
        <v/>
      </c>
      <c r="J967" s="9" t="inlineStr">
        <is>
          <t>Roberto Fernandes</t>
        </is>
      </c>
      <c r="K967" s="13" t="inlineStr">
        <is>
          <t>C03</t>
        </is>
      </c>
      <c r="L967" s="13">
        <f>IF(H967=0, "Correto", "Divergente")</f>
        <v/>
      </c>
    </row>
    <row r="968">
      <c r="A968" s="2" t="n">
        <v>967</v>
      </c>
      <c r="B968" s="2" t="n">
        <v>167</v>
      </c>
      <c r="C968" s="3" t="inlineStr">
        <is>
          <t>Capa Protetora para Tablet (Modelo 3)</t>
        </is>
      </c>
      <c r="D968" s="3" t="inlineStr">
        <is>
          <t>Smartphones</t>
        </is>
      </c>
      <c r="E968" s="4" t="inlineStr">
        <is>
          <t>2024-07-28</t>
        </is>
      </c>
      <c r="F968" s="5" t="n">
        <v>3614</v>
      </c>
      <c r="G968" s="5" t="n">
        <v>3614</v>
      </c>
      <c r="H968" s="5">
        <f>G968-F968</f>
        <v/>
      </c>
      <c r="I968" s="6">
        <f>H968/F968</f>
        <v/>
      </c>
      <c r="J968" s="3" t="inlineStr">
        <is>
          <t>Gustavo Silveira</t>
        </is>
      </c>
      <c r="K968" s="7" t="inlineStr">
        <is>
          <t>A03</t>
        </is>
      </c>
      <c r="L968" s="7">
        <f>IF(H968=0, "Correto", "Divergente")</f>
        <v/>
      </c>
    </row>
    <row r="969">
      <c r="A969" s="8" t="n">
        <v>968</v>
      </c>
      <c r="B969" s="8" t="n">
        <v>92</v>
      </c>
      <c r="C969" s="9" t="inlineStr">
        <is>
          <t>Teclado Mecânico RGB (Modelo 3)</t>
        </is>
      </c>
      <c r="D969" s="9" t="inlineStr">
        <is>
          <t>Periféricos</t>
        </is>
      </c>
      <c r="E969" s="10" t="inlineStr">
        <is>
          <t>2024-12-22</t>
        </is>
      </c>
      <c r="F969" s="11" t="n">
        <v>357</v>
      </c>
      <c r="G969" s="11" t="n">
        <v>384</v>
      </c>
      <c r="H969" s="11">
        <f>G969-F969</f>
        <v/>
      </c>
      <c r="I969" s="12">
        <f>H969/F969</f>
        <v/>
      </c>
      <c r="J969" s="9" t="inlineStr">
        <is>
          <t>Carlos Eduardo Rocha</t>
        </is>
      </c>
      <c r="K969" s="13" t="inlineStr">
        <is>
          <t>B01</t>
        </is>
      </c>
      <c r="L969" s="13">
        <f>IF(H969=0, "Correto", "Divergente")</f>
        <v/>
      </c>
    </row>
    <row r="970">
      <c r="A970" s="2" t="n">
        <v>969</v>
      </c>
      <c r="B970" s="2" t="n">
        <v>121</v>
      </c>
      <c r="C970" s="3" t="inlineStr">
        <is>
          <t>Notebook Corporate i5 16GB (Modelo 2)</t>
        </is>
      </c>
      <c r="D970" s="3" t="inlineStr">
        <is>
          <t>Informática</t>
        </is>
      </c>
      <c r="E970" s="4" t="inlineStr">
        <is>
          <t>2024-04-15</t>
        </is>
      </c>
      <c r="F970" s="5" t="n">
        <v>525</v>
      </c>
      <c r="G970" s="5" t="n">
        <v>525</v>
      </c>
      <c r="H970" s="5">
        <f>G970-F970</f>
        <v/>
      </c>
      <c r="I970" s="6">
        <f>H970/F970</f>
        <v/>
      </c>
      <c r="J970" s="3" t="inlineStr">
        <is>
          <t>Camila Azevedo</t>
        </is>
      </c>
      <c r="K970" s="7" t="inlineStr">
        <is>
          <t>A01</t>
        </is>
      </c>
      <c r="L970" s="7">
        <f>IF(H970=0, "Correto", "Divergente")</f>
        <v/>
      </c>
    </row>
    <row r="971">
      <c r="A971" s="8" t="n">
        <v>970</v>
      </c>
      <c r="B971" s="8" t="n">
        <v>61</v>
      </c>
      <c r="C971" s="9" t="inlineStr">
        <is>
          <t>Mini PC Ryzen 5 (Modelo 2)</t>
        </is>
      </c>
      <c r="D971" s="9" t="inlineStr">
        <is>
          <t>Informática</t>
        </is>
      </c>
      <c r="E971" s="10" t="inlineStr">
        <is>
          <t>2024-08-05</t>
        </is>
      </c>
      <c r="F971" s="11" t="n">
        <v>204</v>
      </c>
      <c r="G971" s="11" t="n">
        <v>204</v>
      </c>
      <c r="H971" s="11">
        <f>G971-F971</f>
        <v/>
      </c>
      <c r="I971" s="12">
        <f>H971/F971</f>
        <v/>
      </c>
      <c r="J971" s="9" t="inlineStr">
        <is>
          <t>Roberto Fernandes</t>
        </is>
      </c>
      <c r="K971" s="13" t="inlineStr">
        <is>
          <t>B02</t>
        </is>
      </c>
      <c r="L971" s="13">
        <f>IF(H971=0, "Correto", "Divergente")</f>
        <v/>
      </c>
    </row>
    <row r="972">
      <c r="A972" s="2" t="n">
        <v>971</v>
      </c>
      <c r="B972" s="2" t="n">
        <v>155</v>
      </c>
      <c r="C972" s="3" t="inlineStr">
        <is>
          <t>Caixa de Som Bluetooth Portátil (Modelo 6)</t>
        </is>
      </c>
      <c r="D972" s="3" t="inlineStr">
        <is>
          <t>Áudio</t>
        </is>
      </c>
      <c r="E972" s="4" t="inlineStr">
        <is>
          <t>2025-12-03</t>
        </is>
      </c>
      <c r="F972" s="5" t="n">
        <v>3618</v>
      </c>
      <c r="G972" s="5" t="n">
        <v>3618</v>
      </c>
      <c r="H972" s="5">
        <f>G972-F972</f>
        <v/>
      </c>
      <c r="I972" s="6">
        <f>H972/F972</f>
        <v/>
      </c>
      <c r="J972" s="3" t="inlineStr">
        <is>
          <t>Gustavo Silveira</t>
        </is>
      </c>
      <c r="K972" s="7" t="inlineStr">
        <is>
          <t>C01</t>
        </is>
      </c>
      <c r="L972" s="7">
        <f>IF(H972=0, "Correto", "Divergente")</f>
        <v/>
      </c>
    </row>
    <row r="973">
      <c r="A973" s="8" t="n">
        <v>972</v>
      </c>
      <c r="B973" s="8" t="n">
        <v>94</v>
      </c>
      <c r="C973" s="9" t="inlineStr">
        <is>
          <t>Toner HP Preto Original (Modelo 5)</t>
        </is>
      </c>
      <c r="D973" s="9" t="inlineStr">
        <is>
          <t>Impressão</t>
        </is>
      </c>
      <c r="E973" s="10" t="inlineStr">
        <is>
          <t>2026-11-17</t>
        </is>
      </c>
      <c r="F973" s="11" t="n">
        <v>3670</v>
      </c>
      <c r="G973" s="11" t="n">
        <v>3488</v>
      </c>
      <c r="H973" s="11">
        <f>G973-F973</f>
        <v/>
      </c>
      <c r="I973" s="12">
        <f>H973/F973</f>
        <v/>
      </c>
      <c r="J973" s="9" t="inlineStr">
        <is>
          <t>Patricia Prado</t>
        </is>
      </c>
      <c r="K973" s="13" t="inlineStr">
        <is>
          <t>C01</t>
        </is>
      </c>
      <c r="L973" s="13">
        <f>IF(H973=0, "Correto", "Divergente")</f>
        <v/>
      </c>
    </row>
    <row r="974">
      <c r="A974" s="2" t="n">
        <v>973</v>
      </c>
      <c r="B974" s="2" t="n">
        <v>16</v>
      </c>
      <c r="C974" s="3" t="inlineStr">
        <is>
          <t>HD Externo Portátil 2TB (Modelo 2)</t>
        </is>
      </c>
      <c r="D974" s="3" t="inlineStr">
        <is>
          <t>Armazenamento</t>
        </is>
      </c>
      <c r="E974" s="4" t="inlineStr">
        <is>
          <t>2025-09-26</t>
        </is>
      </c>
      <c r="F974" s="5" t="n">
        <v>463</v>
      </c>
      <c r="G974" s="5" t="n">
        <v>473</v>
      </c>
      <c r="H974" s="5">
        <f>G974-F974</f>
        <v/>
      </c>
      <c r="I974" s="6">
        <f>H974/F974</f>
        <v/>
      </c>
      <c r="J974" s="3" t="inlineStr">
        <is>
          <t>Patricia Prado</t>
        </is>
      </c>
      <c r="K974" s="7" t="inlineStr">
        <is>
          <t>Depósito Externo</t>
        </is>
      </c>
      <c r="L974" s="7">
        <f>IF(H974=0, "Correto", "Divergente")</f>
        <v/>
      </c>
    </row>
    <row r="975">
      <c r="A975" s="8" t="n">
        <v>974</v>
      </c>
      <c r="B975" s="8" t="n">
        <v>59</v>
      </c>
      <c r="C975" s="9" t="inlineStr">
        <is>
          <t>Filtro de Linha 6 Tomadas (Modelo 15)</t>
        </is>
      </c>
      <c r="D975" s="9" t="inlineStr">
        <is>
          <t>Acessórios</t>
        </is>
      </c>
      <c r="E975" s="10" t="inlineStr">
        <is>
          <t>2025-03-29</t>
        </is>
      </c>
      <c r="F975" s="11" t="n">
        <v>3268</v>
      </c>
      <c r="G975" s="11" t="n">
        <v>3220</v>
      </c>
      <c r="H975" s="11">
        <f>G975-F975</f>
        <v/>
      </c>
      <c r="I975" s="12">
        <f>H975/F975</f>
        <v/>
      </c>
      <c r="J975" s="9" t="inlineStr">
        <is>
          <t>Mariana Alcantara</t>
        </is>
      </c>
      <c r="K975" s="13" t="inlineStr">
        <is>
          <t>A01</t>
        </is>
      </c>
      <c r="L975" s="13">
        <f>IF(H975=0, "Correto", "Divergente")</f>
        <v/>
      </c>
    </row>
    <row r="976">
      <c r="A976" s="2" t="n">
        <v>975</v>
      </c>
      <c r="B976" s="2" t="n">
        <v>192</v>
      </c>
      <c r="C976" s="3" t="inlineStr">
        <is>
          <t>Mouse Óptico USB (Modelo 13)</t>
        </is>
      </c>
      <c r="D976" s="3" t="inlineStr">
        <is>
          <t>Periféricos</t>
        </is>
      </c>
      <c r="E976" s="4" t="inlineStr">
        <is>
          <t>2026-04-07</t>
        </is>
      </c>
      <c r="F976" s="5" t="n">
        <v>2228</v>
      </c>
      <c r="G976" s="5" t="n">
        <v>2368</v>
      </c>
      <c r="H976" s="5">
        <f>G976-F976</f>
        <v/>
      </c>
      <c r="I976" s="6">
        <f>H976/F976</f>
        <v/>
      </c>
      <c r="J976" s="3" t="inlineStr">
        <is>
          <t>Ricardo Mendes</t>
        </is>
      </c>
      <c r="K976" s="7" t="inlineStr">
        <is>
          <t>A01</t>
        </is>
      </c>
      <c r="L976" s="7">
        <f>IF(H976=0, "Correto", "Divergente")</f>
        <v/>
      </c>
    </row>
    <row r="977">
      <c r="A977" s="8" t="n">
        <v>976</v>
      </c>
      <c r="B977" s="8" t="n">
        <v>44</v>
      </c>
      <c r="C977" s="9" t="inlineStr">
        <is>
          <t>Multifuncional Tanque de Tinta (Modelo 15)</t>
        </is>
      </c>
      <c r="D977" s="9" t="inlineStr">
        <is>
          <t>Impressão</t>
        </is>
      </c>
      <c r="E977" s="10" t="inlineStr">
        <is>
          <t>2024-02-06</t>
        </is>
      </c>
      <c r="F977" s="11" t="n">
        <v>4287</v>
      </c>
      <c r="G977" s="11" t="n">
        <v>4151</v>
      </c>
      <c r="H977" s="11">
        <f>G977-F977</f>
        <v/>
      </c>
      <c r="I977" s="12">
        <f>H977/F977</f>
        <v/>
      </c>
      <c r="J977" s="9" t="inlineStr">
        <is>
          <t>Marcelo Fontes</t>
        </is>
      </c>
      <c r="K977" s="13" t="inlineStr">
        <is>
          <t>B03</t>
        </is>
      </c>
      <c r="L977" s="13">
        <f>IF(H977=0, "Correto", "Divergente")</f>
        <v/>
      </c>
    </row>
    <row r="978">
      <c r="A978" s="2" t="n">
        <v>977</v>
      </c>
      <c r="B978" s="2" t="n">
        <v>33</v>
      </c>
      <c r="C978" s="3" t="inlineStr">
        <is>
          <t>Monitor 27" Curvo 144Hz (Modelo 4)</t>
        </is>
      </c>
      <c r="D978" s="3" t="inlineStr">
        <is>
          <t>Monitores</t>
        </is>
      </c>
      <c r="E978" s="4" t="inlineStr">
        <is>
          <t>2024-10-28</t>
        </is>
      </c>
      <c r="F978" s="5" t="n">
        <v>2663</v>
      </c>
      <c r="G978" s="5" t="n">
        <v>2632</v>
      </c>
      <c r="H978" s="5">
        <f>G978-F978</f>
        <v/>
      </c>
      <c r="I978" s="6">
        <f>H978/F978</f>
        <v/>
      </c>
      <c r="J978" s="3" t="inlineStr">
        <is>
          <t>Marcelo Fontes</t>
        </is>
      </c>
      <c r="K978" s="7" t="inlineStr">
        <is>
          <t>A03</t>
        </is>
      </c>
      <c r="L978" s="7">
        <f>IF(H978=0, "Correto", "Divergente")</f>
        <v/>
      </c>
    </row>
    <row r="979">
      <c r="A979" s="8" t="n">
        <v>978</v>
      </c>
      <c r="B979" s="8" t="n">
        <v>110</v>
      </c>
      <c r="C979" s="9" t="inlineStr">
        <is>
          <t>Memória RAM DDR4 16GB 3200MHz (Modelo 6)</t>
        </is>
      </c>
      <c r="D979" s="9" t="inlineStr">
        <is>
          <t>Componentes</t>
        </is>
      </c>
      <c r="E979" s="10" t="inlineStr">
        <is>
          <t>2024-09-12</t>
        </is>
      </c>
      <c r="F979" s="11" t="n">
        <v>223</v>
      </c>
      <c r="G979" s="11" t="n">
        <v>223</v>
      </c>
      <c r="H979" s="11">
        <f>G979-F979</f>
        <v/>
      </c>
      <c r="I979" s="12">
        <f>H979/F979</f>
        <v/>
      </c>
      <c r="J979" s="9" t="inlineStr">
        <is>
          <t>Patricia Prado</t>
        </is>
      </c>
      <c r="K979" s="13" t="inlineStr">
        <is>
          <t>A02</t>
        </is>
      </c>
      <c r="L979" s="13">
        <f>IF(H979=0, "Correto", "Divergente")</f>
        <v/>
      </c>
    </row>
    <row r="980">
      <c r="A980" s="2" t="n">
        <v>979</v>
      </c>
      <c r="B980" s="2" t="n">
        <v>38</v>
      </c>
      <c r="C980" s="3" t="inlineStr">
        <is>
          <t>Switch Gigabit 16 Portas (Modelo 9)</t>
        </is>
      </c>
      <c r="D980" s="3" t="inlineStr">
        <is>
          <t>Redes</t>
        </is>
      </c>
      <c r="E980" s="4" t="inlineStr">
        <is>
          <t>2024-09-20</t>
        </is>
      </c>
      <c r="F980" s="5" t="n">
        <v>4543</v>
      </c>
      <c r="G980" s="5" t="n">
        <v>4808</v>
      </c>
      <c r="H980" s="5">
        <f>G980-F980</f>
        <v/>
      </c>
      <c r="I980" s="6">
        <f>H980/F980</f>
        <v/>
      </c>
      <c r="J980" s="3" t="inlineStr">
        <is>
          <t>Carlos Eduardo Rocha</t>
        </is>
      </c>
      <c r="K980" s="7" t="inlineStr">
        <is>
          <t>C02</t>
        </is>
      </c>
      <c r="L980" s="7">
        <f>IF(H980=0, "Correto", "Divergente")</f>
        <v/>
      </c>
    </row>
    <row r="981">
      <c r="A981" s="8" t="n">
        <v>980</v>
      </c>
      <c r="B981" s="8" t="n">
        <v>69</v>
      </c>
      <c r="C981" s="9" t="inlineStr">
        <is>
          <t>Mochila para Notebook 15.6" (Modelo 10)</t>
        </is>
      </c>
      <c r="D981" s="9" t="inlineStr">
        <is>
          <t>Acessórios</t>
        </is>
      </c>
      <c r="E981" s="10" t="inlineStr">
        <is>
          <t>2026-03-09</t>
        </is>
      </c>
      <c r="F981" s="11" t="n">
        <v>1120</v>
      </c>
      <c r="G981" s="11" t="n">
        <v>1120</v>
      </c>
      <c r="H981" s="11">
        <f>G981-F981</f>
        <v/>
      </c>
      <c r="I981" s="12">
        <f>H981/F981</f>
        <v/>
      </c>
      <c r="J981" s="9" t="inlineStr">
        <is>
          <t>Gustavo Silveira</t>
        </is>
      </c>
      <c r="K981" s="13" t="inlineStr">
        <is>
          <t>C03</t>
        </is>
      </c>
      <c r="L981" s="13">
        <f>IF(H981=0, "Correto", "Divergente")</f>
        <v/>
      </c>
    </row>
    <row r="982">
      <c r="A982" s="2" t="n">
        <v>981</v>
      </c>
      <c r="B982" s="2" t="n">
        <v>59</v>
      </c>
      <c r="C982" s="3" t="inlineStr">
        <is>
          <t>Filtro de Linha 6 Tomadas (Modelo 15)</t>
        </is>
      </c>
      <c r="D982" s="3" t="inlineStr">
        <is>
          <t>Acessórios</t>
        </is>
      </c>
      <c r="E982" s="4" t="inlineStr">
        <is>
          <t>2026-06-01</t>
        </is>
      </c>
      <c r="F982" s="5" t="n">
        <v>2259</v>
      </c>
      <c r="G982" s="5" t="n">
        <v>2213</v>
      </c>
      <c r="H982" s="5">
        <f>G982-F982</f>
        <v/>
      </c>
      <c r="I982" s="6">
        <f>H982/F982</f>
        <v/>
      </c>
      <c r="J982" s="3" t="inlineStr">
        <is>
          <t>Gustavo Silveira</t>
        </is>
      </c>
      <c r="K982" s="7" t="inlineStr">
        <is>
          <t>B01</t>
        </is>
      </c>
      <c r="L982" s="7">
        <f>IF(H982=0, "Correto", "Divergente")</f>
        <v/>
      </c>
    </row>
    <row r="983">
      <c r="A983" s="8" t="n">
        <v>982</v>
      </c>
      <c r="B983" s="8" t="n">
        <v>189</v>
      </c>
      <c r="C983" s="9" t="inlineStr">
        <is>
          <t>Mousepad Extra Grande (Modelo 10)</t>
        </is>
      </c>
      <c r="D983" s="9" t="inlineStr">
        <is>
          <t>Acessórios</t>
        </is>
      </c>
      <c r="E983" s="10" t="inlineStr">
        <is>
          <t>2025-11-02</t>
        </is>
      </c>
      <c r="F983" s="11" t="n">
        <v>1606</v>
      </c>
      <c r="G983" s="11" t="n">
        <v>1606</v>
      </c>
      <c r="H983" s="11">
        <f>G983-F983</f>
        <v/>
      </c>
      <c r="I983" s="12">
        <f>H983/F983</f>
        <v/>
      </c>
      <c r="J983" s="9" t="inlineStr">
        <is>
          <t>Carlos Eduardo Rocha</t>
        </is>
      </c>
      <c r="K983" s="13" t="inlineStr">
        <is>
          <t>A03</t>
        </is>
      </c>
      <c r="L983" s="13">
        <f>IF(H983=0, "Correto", "Divergente")</f>
        <v/>
      </c>
    </row>
    <row r="984">
      <c r="A984" s="2" t="n">
        <v>983</v>
      </c>
      <c r="B984" s="2" t="n">
        <v>31</v>
      </c>
      <c r="C984" s="3" t="inlineStr">
        <is>
          <t>Chromebook 11.6" (Modelo 2)</t>
        </is>
      </c>
      <c r="D984" s="3" t="inlineStr">
        <is>
          <t>Informática</t>
        </is>
      </c>
      <c r="E984" s="4" t="inlineStr">
        <is>
          <t>2026-04-23</t>
        </is>
      </c>
      <c r="F984" s="5" t="n">
        <v>3832</v>
      </c>
      <c r="G984" s="5" t="n">
        <v>3832</v>
      </c>
      <c r="H984" s="5">
        <f>G984-F984</f>
        <v/>
      </c>
      <c r="I984" s="6">
        <f>H984/F984</f>
        <v/>
      </c>
      <c r="J984" s="3" t="inlineStr">
        <is>
          <t>Camila Azevedo</t>
        </is>
      </c>
      <c r="K984" s="7" t="inlineStr">
        <is>
          <t>B02</t>
        </is>
      </c>
      <c r="L984" s="7">
        <f>IF(H984=0, "Correto", "Divergente")</f>
        <v/>
      </c>
    </row>
    <row r="985">
      <c r="A985" s="8" t="n">
        <v>984</v>
      </c>
      <c r="B985" s="8" t="n">
        <v>148</v>
      </c>
      <c r="C985" s="9" t="inlineStr">
        <is>
          <t>Access Point Wi-Fi Corporativo (Modelo 14)</t>
        </is>
      </c>
      <c r="D985" s="9" t="inlineStr">
        <is>
          <t>Redes</t>
        </is>
      </c>
      <c r="E985" s="10" t="inlineStr">
        <is>
          <t>2026-12-06</t>
        </is>
      </c>
      <c r="F985" s="11" t="n">
        <v>2647</v>
      </c>
      <c r="G985" s="11" t="n">
        <v>2647</v>
      </c>
      <c r="H985" s="11">
        <f>G985-F985</f>
        <v/>
      </c>
      <c r="I985" s="12">
        <f>H985/F985</f>
        <v/>
      </c>
      <c r="J985" s="9" t="inlineStr">
        <is>
          <t>Patricia Prado</t>
        </is>
      </c>
      <c r="K985" s="13" t="inlineStr">
        <is>
          <t>B02</t>
        </is>
      </c>
      <c r="L985" s="13">
        <f>IF(H985=0, "Correto", "Divergente")</f>
        <v/>
      </c>
    </row>
    <row r="986">
      <c r="A986" s="2" t="n">
        <v>985</v>
      </c>
      <c r="B986" s="2" t="n">
        <v>159</v>
      </c>
      <c r="C986" s="3" t="inlineStr">
        <is>
          <t>Hub USB-C 7 em 1 (Modelo 10)</t>
        </is>
      </c>
      <c r="D986" s="3" t="inlineStr">
        <is>
          <t>Acessórios</t>
        </is>
      </c>
      <c r="E986" s="4" t="inlineStr">
        <is>
          <t>2024-03-09</t>
        </is>
      </c>
      <c r="F986" s="5" t="n">
        <v>3512</v>
      </c>
      <c r="G986" s="5" t="n">
        <v>3393</v>
      </c>
      <c r="H986" s="5">
        <f>G986-F986</f>
        <v/>
      </c>
      <c r="I986" s="6">
        <f>H986/F986</f>
        <v/>
      </c>
      <c r="J986" s="3" t="inlineStr">
        <is>
          <t>Patricia Prado</t>
        </is>
      </c>
      <c r="K986" s="7" t="inlineStr">
        <is>
          <t>Depósito Externo</t>
        </is>
      </c>
      <c r="L986" s="7">
        <f>IF(H986=0, "Correto", "Divergente")</f>
        <v/>
      </c>
    </row>
    <row r="987">
      <c r="A987" s="8" t="n">
        <v>986</v>
      </c>
      <c r="B987" s="8" t="n">
        <v>179</v>
      </c>
      <c r="C987" s="9" t="inlineStr">
        <is>
          <t>Nobreak 1200VA Bivolt (Modelo 15)</t>
        </is>
      </c>
      <c r="D987" s="9" t="inlineStr">
        <is>
          <t>Acessórios</t>
        </is>
      </c>
      <c r="E987" s="10" t="inlineStr">
        <is>
          <t>2025-10-27</t>
        </is>
      </c>
      <c r="F987" s="11" t="n">
        <v>2728</v>
      </c>
      <c r="G987" s="11" t="n">
        <v>2728</v>
      </c>
      <c r="H987" s="11">
        <f>G987-F987</f>
        <v/>
      </c>
      <c r="I987" s="12">
        <f>H987/F987</f>
        <v/>
      </c>
      <c r="J987" s="9" t="inlineStr">
        <is>
          <t>Carlos Eduardo Rocha</t>
        </is>
      </c>
      <c r="K987" s="13" t="inlineStr">
        <is>
          <t>B03</t>
        </is>
      </c>
      <c r="L987" s="13">
        <f>IF(H987=0, "Correto", "Divergente")</f>
        <v/>
      </c>
    </row>
    <row r="988">
      <c r="A988" s="2" t="n">
        <v>987</v>
      </c>
      <c r="B988" s="2" t="n">
        <v>58</v>
      </c>
      <c r="C988" s="3" t="inlineStr">
        <is>
          <t>Access Point Wi-Fi Corporativo (Modelo 14)</t>
        </is>
      </c>
      <c r="D988" s="3" t="inlineStr">
        <is>
          <t>Redes</t>
        </is>
      </c>
      <c r="E988" s="4" t="inlineStr">
        <is>
          <t>2024-08-15</t>
        </is>
      </c>
      <c r="F988" s="5" t="n">
        <v>720</v>
      </c>
      <c r="G988" s="5" t="n">
        <v>720</v>
      </c>
      <c r="H988" s="5">
        <f>G988-F988</f>
        <v/>
      </c>
      <c r="I988" s="6">
        <f>H988/F988</f>
        <v/>
      </c>
      <c r="J988" s="3" t="inlineStr">
        <is>
          <t>Beatriz Castilho</t>
        </is>
      </c>
      <c r="K988" s="7" t="inlineStr">
        <is>
          <t>C02</t>
        </is>
      </c>
      <c r="L988" s="7">
        <f>IF(H988=0, "Correto", "Divergente")</f>
        <v/>
      </c>
    </row>
    <row r="989">
      <c r="A989" s="8" t="n">
        <v>988</v>
      </c>
      <c r="B989" s="8" t="n">
        <v>81</v>
      </c>
      <c r="C989" s="9" t="inlineStr">
        <is>
          <t>Notebook Corporate i5 16GB (Modelo 7)</t>
        </is>
      </c>
      <c r="D989" s="9" t="inlineStr">
        <is>
          <t>Informática</t>
        </is>
      </c>
      <c r="E989" s="10" t="inlineStr">
        <is>
          <t>2025-12-11</t>
        </is>
      </c>
      <c r="F989" s="11" t="n">
        <v>3256</v>
      </c>
      <c r="G989" s="11" t="n">
        <v>3256</v>
      </c>
      <c r="H989" s="11">
        <f>G989-F989</f>
        <v/>
      </c>
      <c r="I989" s="12">
        <f>H989/F989</f>
        <v/>
      </c>
      <c r="J989" s="9" t="inlineStr">
        <is>
          <t>Camila Azevedo</t>
        </is>
      </c>
      <c r="K989" s="13" t="inlineStr">
        <is>
          <t>B03</t>
        </is>
      </c>
      <c r="L989" s="13">
        <f>IF(H989=0, "Correto", "Divergente")</f>
        <v/>
      </c>
    </row>
    <row r="990">
      <c r="A990" s="2" t="n">
        <v>989</v>
      </c>
      <c r="B990" s="2" t="n">
        <v>71</v>
      </c>
      <c r="C990" s="3" t="inlineStr">
        <is>
          <t>Chromebook 11.6" (Modelo 12)</t>
        </is>
      </c>
      <c r="D990" s="3" t="inlineStr">
        <is>
          <t>Informática</t>
        </is>
      </c>
      <c r="E990" s="4" t="inlineStr">
        <is>
          <t>2024-07-23</t>
        </is>
      </c>
      <c r="F990" s="5" t="n">
        <v>4129</v>
      </c>
      <c r="G990" s="5" t="n">
        <v>4129</v>
      </c>
      <c r="H990" s="5">
        <f>G990-F990</f>
        <v/>
      </c>
      <c r="I990" s="6">
        <f>H990/F990</f>
        <v/>
      </c>
      <c r="J990" s="3" t="inlineStr">
        <is>
          <t>Mariana Alcantara</t>
        </is>
      </c>
      <c r="K990" s="7" t="inlineStr">
        <is>
          <t>A03</t>
        </is>
      </c>
      <c r="L990" s="7">
        <f>IF(H990=0, "Correto", "Divergente")</f>
        <v/>
      </c>
    </row>
    <row r="991">
      <c r="A991" s="8" t="n">
        <v>990</v>
      </c>
      <c r="B991" s="8" t="n">
        <v>114</v>
      </c>
      <c r="C991" s="9" t="inlineStr">
        <is>
          <t>Cartucho Colorido Premium (Modelo 10)</t>
        </is>
      </c>
      <c r="D991" s="9" t="inlineStr">
        <is>
          <t>Impressão</t>
        </is>
      </c>
      <c r="E991" s="10" t="inlineStr">
        <is>
          <t>2025-08-24</t>
        </is>
      </c>
      <c r="F991" s="11" t="n">
        <v>1901</v>
      </c>
      <c r="G991" s="11" t="n">
        <v>1901</v>
      </c>
      <c r="H991" s="11">
        <f>G991-F991</f>
        <v/>
      </c>
      <c r="I991" s="12">
        <f>H991/F991</f>
        <v/>
      </c>
      <c r="J991" s="9" t="inlineStr">
        <is>
          <t>Ricardo Mendes</t>
        </is>
      </c>
      <c r="K991" s="13" t="inlineStr">
        <is>
          <t>B02</t>
        </is>
      </c>
      <c r="L991" s="13">
        <f>IF(H991=0, "Correto", "Divergente")</f>
        <v/>
      </c>
    </row>
    <row r="992">
      <c r="A992" s="2" t="n">
        <v>991</v>
      </c>
      <c r="B992" s="2" t="n">
        <v>32</v>
      </c>
      <c r="C992" s="3" t="inlineStr">
        <is>
          <t>Mouse Sem Fio Bluetooth (Modelo 3)</t>
        </is>
      </c>
      <c r="D992" s="3" t="inlineStr">
        <is>
          <t>Periféricos</t>
        </is>
      </c>
      <c r="E992" s="4" t="inlineStr">
        <is>
          <t>2026-03-18</t>
        </is>
      </c>
      <c r="F992" s="5" t="n">
        <v>3239</v>
      </c>
      <c r="G992" s="5" t="n">
        <v>3239</v>
      </c>
      <c r="H992" s="5">
        <f>G992-F992</f>
        <v/>
      </c>
      <c r="I992" s="6">
        <f>H992/F992</f>
        <v/>
      </c>
      <c r="J992" s="3" t="inlineStr">
        <is>
          <t>Marcelo Fontes</t>
        </is>
      </c>
      <c r="K992" s="7" t="inlineStr">
        <is>
          <t>A01</t>
        </is>
      </c>
      <c r="L992" s="7">
        <f>IF(H992=0, "Correto", "Divergente")</f>
        <v/>
      </c>
    </row>
    <row r="993">
      <c r="A993" s="8" t="n">
        <v>992</v>
      </c>
      <c r="B993" s="8" t="n">
        <v>184</v>
      </c>
      <c r="C993" s="9" t="inlineStr">
        <is>
          <t>Toner HP Preto Original (Modelo 5)</t>
        </is>
      </c>
      <c r="D993" s="9" t="inlineStr">
        <is>
          <t>Impressão</t>
        </is>
      </c>
      <c r="E993" s="10" t="inlineStr">
        <is>
          <t>2024-05-15</t>
        </is>
      </c>
      <c r="F993" s="11" t="n">
        <v>1431</v>
      </c>
      <c r="G993" s="11" t="n">
        <v>1389</v>
      </c>
      <c r="H993" s="11">
        <f>G993-F993</f>
        <v/>
      </c>
      <c r="I993" s="12">
        <f>H993/F993</f>
        <v/>
      </c>
      <c r="J993" s="9" t="inlineStr">
        <is>
          <t>Mariana Alcantara</t>
        </is>
      </c>
      <c r="K993" s="13" t="inlineStr">
        <is>
          <t>C02</t>
        </is>
      </c>
      <c r="L993" s="13">
        <f>IF(H993=0, "Correto", "Divergente")</f>
        <v/>
      </c>
    </row>
    <row r="994">
      <c r="A994" s="2" t="n">
        <v>993</v>
      </c>
      <c r="B994" s="2" t="n">
        <v>175</v>
      </c>
      <c r="C994" s="3" t="inlineStr">
        <is>
          <t>Headset USB com Cancelamento de Ruído (Modelo 11)</t>
        </is>
      </c>
      <c r="D994" s="3" t="inlineStr">
        <is>
          <t>Áudio</t>
        </is>
      </c>
      <c r="E994" s="4" t="inlineStr">
        <is>
          <t>2024-11-19</t>
        </is>
      </c>
      <c r="F994" s="5" t="n">
        <v>2022</v>
      </c>
      <c r="G994" s="5" t="n">
        <v>2022</v>
      </c>
      <c r="H994" s="5">
        <f>G994-F994</f>
        <v/>
      </c>
      <c r="I994" s="6">
        <f>H994/F994</f>
        <v/>
      </c>
      <c r="J994" s="3" t="inlineStr">
        <is>
          <t>Gustavo Silveira</t>
        </is>
      </c>
      <c r="K994" s="7" t="inlineStr">
        <is>
          <t>C02</t>
        </is>
      </c>
      <c r="L994" s="7">
        <f>IF(H994=0, "Correto", "Divergente")</f>
        <v/>
      </c>
    </row>
    <row r="995">
      <c r="A995" s="8" t="n">
        <v>994</v>
      </c>
      <c r="B995" s="8" t="n">
        <v>123</v>
      </c>
      <c r="C995" s="9" t="inlineStr">
        <is>
          <t>Monitor 27" Curvo 144Hz (Modelo 4)</t>
        </is>
      </c>
      <c r="D995" s="9" t="inlineStr">
        <is>
          <t>Monitores</t>
        </is>
      </c>
      <c r="E995" s="10" t="inlineStr">
        <is>
          <t>2026-04-16</t>
        </is>
      </c>
      <c r="F995" s="11" t="n">
        <v>4622</v>
      </c>
      <c r="G995" s="11" t="n">
        <v>4622</v>
      </c>
      <c r="H995" s="11">
        <f>G995-F995</f>
        <v/>
      </c>
      <c r="I995" s="12">
        <f>H995/F995</f>
        <v/>
      </c>
      <c r="J995" s="9" t="inlineStr">
        <is>
          <t>Gustavo Silveira</t>
        </is>
      </c>
      <c r="K995" s="13" t="inlineStr">
        <is>
          <t>B03</t>
        </is>
      </c>
      <c r="L995" s="13">
        <f>IF(H995=0, "Correto", "Divergente")</f>
        <v/>
      </c>
    </row>
    <row r="996">
      <c r="A996" s="2" t="n">
        <v>995</v>
      </c>
      <c r="B996" s="2" t="n">
        <v>188</v>
      </c>
      <c r="C996" s="3" t="inlineStr">
        <is>
          <t>Switch Gigabit 16 Portas (Modelo 9)</t>
        </is>
      </c>
      <c r="D996" s="3" t="inlineStr">
        <is>
          <t>Redes</t>
        </is>
      </c>
      <c r="E996" s="4" t="inlineStr">
        <is>
          <t>2024-03-07</t>
        </is>
      </c>
      <c r="F996" s="5" t="n">
        <v>3307</v>
      </c>
      <c r="G996" s="5" t="n">
        <v>3307</v>
      </c>
      <c r="H996" s="5">
        <f>G996-F996</f>
        <v/>
      </c>
      <c r="I996" s="6">
        <f>H996/F996</f>
        <v/>
      </c>
      <c r="J996" s="3" t="inlineStr">
        <is>
          <t>Fernanda Vasconcelos</t>
        </is>
      </c>
      <c r="K996" s="7" t="inlineStr">
        <is>
          <t>A03</t>
        </is>
      </c>
      <c r="L996" s="7">
        <f>IF(H996=0, "Correto", "Divergente")</f>
        <v/>
      </c>
    </row>
    <row r="997">
      <c r="A997" s="8" t="n">
        <v>996</v>
      </c>
      <c r="B997" s="8" t="n">
        <v>15</v>
      </c>
      <c r="C997" s="9" t="inlineStr">
        <is>
          <t>Caixa de Som USB 10W (Modelo 1)</t>
        </is>
      </c>
      <c r="D997" s="9" t="inlineStr">
        <is>
          <t>Áudio</t>
        </is>
      </c>
      <c r="E997" s="10" t="inlineStr">
        <is>
          <t>2026-06-30</t>
        </is>
      </c>
      <c r="F997" s="11" t="n">
        <v>3546</v>
      </c>
      <c r="G997" s="11" t="n">
        <v>3546</v>
      </c>
      <c r="H997" s="11">
        <f>G997-F997</f>
        <v/>
      </c>
      <c r="I997" s="12">
        <f>H997/F997</f>
        <v/>
      </c>
      <c r="J997" s="9" t="inlineStr">
        <is>
          <t>Patricia Prado</t>
        </is>
      </c>
      <c r="K997" s="13" t="inlineStr">
        <is>
          <t>B01</t>
        </is>
      </c>
      <c r="L997" s="13">
        <f>IF(H997=0, "Correto", "Divergente")</f>
        <v/>
      </c>
    </row>
    <row r="998">
      <c r="A998" s="2" t="n">
        <v>997</v>
      </c>
      <c r="B998" s="2" t="n">
        <v>162</v>
      </c>
      <c r="C998" s="3" t="inlineStr">
        <is>
          <t>Teclado Mecânico RGB (Modelo 13)</t>
        </is>
      </c>
      <c r="D998" s="3" t="inlineStr">
        <is>
          <t>Periféricos</t>
        </is>
      </c>
      <c r="E998" s="4" t="inlineStr">
        <is>
          <t>2026-12-18</t>
        </is>
      </c>
      <c r="F998" s="5" t="n">
        <v>1687</v>
      </c>
      <c r="G998" s="5" t="n">
        <v>1619</v>
      </c>
      <c r="H998" s="5">
        <f>G998-F998</f>
        <v/>
      </c>
      <c r="I998" s="6">
        <f>H998/F998</f>
        <v/>
      </c>
      <c r="J998" s="3" t="inlineStr">
        <is>
          <t>Beatriz Castilho</t>
        </is>
      </c>
      <c r="K998" s="7" t="inlineStr">
        <is>
          <t>B02</t>
        </is>
      </c>
      <c r="L998" s="7">
        <f>IF(H998=0, "Correto", "Divergente")</f>
        <v/>
      </c>
    </row>
    <row r="999">
      <c r="A999" s="8" t="n">
        <v>998</v>
      </c>
      <c r="B999" s="8" t="n">
        <v>106</v>
      </c>
      <c r="C999" s="9" t="inlineStr">
        <is>
          <t>HD Externo Portátil 2TB (Modelo 2)</t>
        </is>
      </c>
      <c r="D999" s="9" t="inlineStr">
        <is>
          <t>Armazenamento</t>
        </is>
      </c>
      <c r="E999" s="10" t="inlineStr">
        <is>
          <t>2024-09-20</t>
        </is>
      </c>
      <c r="F999" s="11" t="n">
        <v>1789</v>
      </c>
      <c r="G999" s="11" t="n">
        <v>1789</v>
      </c>
      <c r="H999" s="11">
        <f>G999-F999</f>
        <v/>
      </c>
      <c r="I999" s="12">
        <f>H999/F999</f>
        <v/>
      </c>
      <c r="J999" s="9" t="inlineStr">
        <is>
          <t>Gustavo Silveira</t>
        </is>
      </c>
      <c r="K999" s="13" t="inlineStr">
        <is>
          <t>C02</t>
        </is>
      </c>
      <c r="L999" s="13">
        <f>IF(H999=0, "Correto", "Divergente")</f>
        <v/>
      </c>
    </row>
    <row r="1000">
      <c r="A1000" s="2" t="n">
        <v>999</v>
      </c>
      <c r="B1000" s="2" t="n">
        <v>104</v>
      </c>
      <c r="C1000" s="3" t="inlineStr">
        <is>
          <t>Multifuncional Tanque de Tinta (Modelo 15)</t>
        </is>
      </c>
      <c r="D1000" s="3" t="inlineStr">
        <is>
          <t>Impressão</t>
        </is>
      </c>
      <c r="E1000" s="4" t="inlineStr">
        <is>
          <t>2026-01-29</t>
        </is>
      </c>
      <c r="F1000" s="5" t="n">
        <v>600</v>
      </c>
      <c r="G1000" s="5" t="n">
        <v>600</v>
      </c>
      <c r="H1000" s="5">
        <f>G1000-F1000</f>
        <v/>
      </c>
      <c r="I1000" s="6">
        <f>H1000/F1000</f>
        <v/>
      </c>
      <c r="J1000" s="3" t="inlineStr">
        <is>
          <t>Ricardo Mendes</t>
        </is>
      </c>
      <c r="K1000" s="7" t="inlineStr">
        <is>
          <t>A03</t>
        </is>
      </c>
      <c r="L1000" s="7">
        <f>IF(H1000=0, "Correto", "Divergente")</f>
        <v/>
      </c>
    </row>
    <row r="1001">
      <c r="A1001" s="8" t="n">
        <v>1000</v>
      </c>
      <c r="B1001" s="8" t="n">
        <v>176</v>
      </c>
      <c r="C1001" s="9" t="inlineStr">
        <is>
          <t>SSD NVMe 1TB M.2 (Modelo 12)</t>
        </is>
      </c>
      <c r="D1001" s="9" t="inlineStr">
        <is>
          <t>Armazenamento</t>
        </is>
      </c>
      <c r="E1001" s="10" t="inlineStr">
        <is>
          <t>2025-02-28</t>
        </is>
      </c>
      <c r="F1001" s="11" t="n">
        <v>3948</v>
      </c>
      <c r="G1001" s="11" t="n">
        <v>3948</v>
      </c>
      <c r="H1001" s="11">
        <f>G1001-F1001</f>
        <v/>
      </c>
      <c r="I1001" s="12">
        <f>H1001/F1001</f>
        <v/>
      </c>
      <c r="J1001" s="9" t="inlineStr">
        <is>
          <t>Carlos Eduardo Rocha</t>
        </is>
      </c>
      <c r="K1001" s="13" t="inlineStr">
        <is>
          <t>B03</t>
        </is>
      </c>
      <c r="L1001" s="13">
        <f>IF(H1001=0, "Correto", "Divergente")</f>
        <v/>
      </c>
    </row>
  </sheetData>
  <conditionalFormatting sqref="L2:L1001">
    <cfRule type="cellIs" priority="1" operator="equal" dxfId="0" stopIfTrue="1">
      <formula>"Divergente"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4" t="inlineStr">
        <is>
          <t>DASHBOARD EXECUTIVO - INVENTÁRIO DE ESTOQUE</t>
        </is>
      </c>
    </row>
    <row r="2"/>
    <row r="3"/>
    <row r="4">
      <c r="A4" s="15" t="inlineStr">
        <is>
          <t>Total Registros</t>
        </is>
      </c>
      <c r="C4" s="15" t="inlineStr">
        <is>
          <t>Itens Correto</t>
        </is>
      </c>
      <c r="E4" s="15" t="inlineStr">
        <is>
          <t>Itens Divergentes</t>
        </is>
      </c>
      <c r="G4" s="15" t="inlineStr">
        <is>
          <t>Acurácia Geral</t>
        </is>
      </c>
    </row>
    <row r="5">
      <c r="A5" s="16">
        <f>COUNTA(DadosInventario!A2:A1001)</f>
        <v/>
      </c>
      <c r="C5" s="16">
        <f>COUNTIF(DadosInventario!L2:L1001, "Correto")</f>
        <v/>
      </c>
      <c r="E5" s="16">
        <f>COUNTIF(DadosInventario!L2:L1001, "Divergente")</f>
        <v/>
      </c>
      <c r="G5" s="17">
        <f>C5/A5</f>
        <v/>
      </c>
    </row>
    <row r="6"/>
    <row r="7"/>
    <row r="8">
      <c r="A8" s="18" t="inlineStr">
        <is>
          <t>Categoria</t>
        </is>
      </c>
      <c r="B8" s="18" t="inlineStr">
        <is>
          <t>Total Itens</t>
        </is>
      </c>
      <c r="C8" s="18" t="inlineStr">
        <is>
          <t>Itens Divergentes</t>
        </is>
      </c>
      <c r="D8" s="18" t="inlineStr">
        <is>
          <t>% Acurácia</t>
        </is>
      </c>
      <c r="F8" s="18" t="inlineStr">
        <is>
          <t>Status</t>
        </is>
      </c>
      <c r="G8" s="18" t="inlineStr">
        <is>
          <t>Total Registros</t>
        </is>
      </c>
    </row>
    <row r="9">
      <c r="A9" s="19" t="inlineStr">
        <is>
          <t>Informática</t>
        </is>
      </c>
      <c r="B9" s="20">
        <f>COUNTIF(DadosInventario!D2:D1001, A9)</f>
        <v/>
      </c>
      <c r="C9" s="20">
        <f>COUNTIFS(DadosInventario!D2:D1001, A9, DadosInventario!L2:L1001, "Divergente")</f>
        <v/>
      </c>
      <c r="D9" s="21">
        <f>(B9-C9)/B9</f>
        <v/>
      </c>
      <c r="F9" s="19" t="inlineStr">
        <is>
          <t>Correto</t>
        </is>
      </c>
      <c r="G9" s="20">
        <f>COUNTIF(DadosInventario!L2:L1001, "Correto")</f>
        <v/>
      </c>
    </row>
    <row r="10">
      <c r="A10" s="19" t="inlineStr">
        <is>
          <t>Periféricos</t>
        </is>
      </c>
      <c r="B10" s="20">
        <f>COUNTIF(DadosInventario!D2:D1001, A10)</f>
        <v/>
      </c>
      <c r="C10" s="20">
        <f>COUNTIFS(DadosInventario!D2:D1001, A10, DadosInventario!L2:L1001, "Divergente")</f>
        <v/>
      </c>
      <c r="D10" s="21">
        <f>(B10-C10)/B10</f>
        <v/>
      </c>
      <c r="F10" s="19" t="inlineStr">
        <is>
          <t>Divergente</t>
        </is>
      </c>
      <c r="G10" s="20">
        <f>COUNTIF(DadosInventario!L2:L1001, "Divergente")</f>
        <v/>
      </c>
    </row>
    <row r="11">
      <c r="A11" s="19" t="inlineStr">
        <is>
          <t>Monitores</t>
        </is>
      </c>
      <c r="B11" s="20">
        <f>COUNTIF(DadosInventario!D2:D1001, A11)</f>
        <v/>
      </c>
      <c r="C11" s="20">
        <f>COUNTIFS(DadosInventario!D2:D1001, A11, DadosInventario!L2:L1001, "Divergente")</f>
        <v/>
      </c>
      <c r="D11" s="21">
        <f>(B11-C11)/B11</f>
        <v/>
      </c>
    </row>
    <row r="12">
      <c r="A12" s="19" t="inlineStr">
        <is>
          <t>Impressão</t>
        </is>
      </c>
      <c r="B12" s="20">
        <f>COUNTIF(DadosInventario!D2:D1001, A12)</f>
        <v/>
      </c>
      <c r="C12" s="20">
        <f>COUNTIFS(DadosInventario!D2:D1001, A12, DadosInventario!L2:L1001, "Divergente")</f>
        <v/>
      </c>
      <c r="D12" s="21">
        <f>(B12-C12)/B12</f>
        <v/>
      </c>
    </row>
    <row r="13">
      <c r="A13" s="19" t="inlineStr">
        <is>
          <t>Áudio</t>
        </is>
      </c>
      <c r="B13" s="20">
        <f>COUNTIF(DadosInventario!D2:D1001, A13)</f>
        <v/>
      </c>
      <c r="C13" s="20">
        <f>COUNTIFS(DadosInventario!D2:D1001, A13, DadosInventario!L2:L1001, "Divergente")</f>
        <v/>
      </c>
      <c r="D13" s="21">
        <f>(B13-C13)/B13</f>
        <v/>
      </c>
    </row>
    <row r="14">
      <c r="A14" s="19" t="inlineStr">
        <is>
          <t>Armazenamento</t>
        </is>
      </c>
      <c r="B14" s="20">
        <f>COUNTIF(DadosInventario!D2:D1001, A14)</f>
        <v/>
      </c>
      <c r="C14" s="20">
        <f>COUNTIFS(DadosInventario!D2:D1001, A14, DadosInventario!L2:L1001, "Divergente")</f>
        <v/>
      </c>
      <c r="D14" s="21">
        <f>(B14-C14)/B14</f>
        <v/>
      </c>
    </row>
    <row r="15">
      <c r="A15" s="19" t="inlineStr">
        <is>
          <t>Smartphones</t>
        </is>
      </c>
      <c r="B15" s="20">
        <f>COUNTIF(DadosInventario!D2:D1001, A15)</f>
        <v/>
      </c>
      <c r="C15" s="20">
        <f>COUNTIFS(DadosInventario!D2:D1001, A15, DadosInventario!L2:L1001, "Divergente")</f>
        <v/>
      </c>
      <c r="D15" s="21">
        <f>(B15-C15)/B15</f>
        <v/>
      </c>
    </row>
    <row r="16">
      <c r="A16" s="19" t="inlineStr">
        <is>
          <t>Redes</t>
        </is>
      </c>
      <c r="B16" s="20">
        <f>COUNTIF(DadosInventario!D2:D1001, A16)</f>
        <v/>
      </c>
      <c r="C16" s="20">
        <f>COUNTIFS(DadosInventario!D2:D1001, A16, DadosInventario!L2:L1001, "Divergente")</f>
        <v/>
      </c>
      <c r="D16" s="21">
        <f>(B16-C16)/B16</f>
        <v/>
      </c>
    </row>
    <row r="17">
      <c r="A17" s="19" t="inlineStr">
        <is>
          <t>Acessórios</t>
        </is>
      </c>
      <c r="B17" s="20">
        <f>COUNTIF(DadosInventario!D2:D1001, A17)</f>
        <v/>
      </c>
      <c r="C17" s="20">
        <f>COUNTIFS(DadosInventario!D2:D1001, A17, DadosInventario!L2:L1001, "Divergente")</f>
        <v/>
      </c>
      <c r="D17" s="21">
        <f>(B17-C17)/B17</f>
        <v/>
      </c>
    </row>
    <row r="18">
      <c r="A18" s="19" t="inlineStr">
        <is>
          <t>Componentes</t>
        </is>
      </c>
      <c r="B18" s="20">
        <f>COUNTIF(DadosInventario!D2:D1001, A18)</f>
        <v/>
      </c>
      <c r="C18" s="20">
        <f>COUNTIFS(DadosInventario!D2:D1001, A18, DadosInventario!L2:L1001, "Divergente")</f>
        <v/>
      </c>
      <c r="D18" s="21">
        <f>(B18-C18)/B18</f>
        <v/>
      </c>
    </row>
  </sheetData>
  <mergeCells count="1">
    <mergeCell ref="A1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2026-08-27T14:00:11Z</dcterms:created>
  <dcterms:modified xmlns:dcterms="http://purl.org/dc/terms/" xmlns:xsi="http://www.w3.org/2001/XMLSchema-instance" xsi:type="dcterms:W3CDTF">2026-08-27T14:00:13Z</dcterms:modified>
</cp:coreProperties>
</file>